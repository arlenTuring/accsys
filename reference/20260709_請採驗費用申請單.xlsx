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defaultThemeVersion="166925"/>
  <mc:AlternateContent xmlns:mc="http://schemas.openxmlformats.org/markup-compatibility/2006">
    <mc:Choice Requires="x15">
      <x15ac:absPath xmlns:x15ac="http://schemas.microsoft.com/office/spreadsheetml/2010/11/ac" url="G:\我的雲端硬碟\預算更新\"/>
    </mc:Choice>
  </mc:AlternateContent>
  <xr:revisionPtr revIDLastSave="0" documentId="13_ncr:1_{F3EC9DD5-5450-4121-89C2-CD655C6A963C}" xr6:coauthVersionLast="47" xr6:coauthVersionMax="47" xr10:uidLastSave="{00000000-0000-0000-0000-000000000000}"/>
  <workbookProtection workbookAlgorithmName="SHA-512" workbookHashValue="iF0tKo6xOGSz2Phvk4wKeusbr4F55DL0WB3HR3AinrxLXli4AM1L2cSYybEX9F5cxY10PDkmNsPO/4pKWjkBTw==" workbookSaltValue="WaAi42vOo7K6Y/u5gZvfYQ==" workbookSpinCount="100000" lockStructure="1"/>
  <bookViews>
    <workbookView xWindow="-108" yWindow="-108" windowWidth="23256" windowHeight="12456" tabRatio="879" activeTab="3" xr2:uid="{E33E9D10-C788-42F2-912C-A2FAE73A519F}"/>
  </bookViews>
  <sheets>
    <sheet name="請先閱讀" sheetId="14" r:id="rId1"/>
    <sheet name="各項支出報支規定" sheetId="13" r:id="rId2"/>
    <sheet name="link" sheetId="11" state="hidden" r:id="rId3"/>
    <sheet name="1.請購單" sheetId="1" r:id="rId4"/>
    <sheet name="供應商資料" sheetId="17" state="hidden" r:id="rId5"/>
    <sheet name="2. 採購單" sheetId="2" r:id="rId6"/>
    <sheet name="3. 驗收單" sheetId="3" r:id="rId7"/>
    <sheet name="4. 費用申請單" sheetId="7" r:id="rId8"/>
    <sheet name="5.採購選手清單" sheetId="16" state="hidden" r:id="rId9"/>
    <sheet name="6.客供資料卡" sheetId="18" state="hidden" r:id="rId10"/>
  </sheets>
  <definedNames>
    <definedName name="_xlnm._FilterDatabase" localSheetId="2" hidden="1">link!$R$1:$AA$294</definedName>
    <definedName name="_xlnm.Print_Area" localSheetId="3">'1.請購單'!$A$1:$J$29</definedName>
    <definedName name="_xlnm.Print_Area" localSheetId="5">'2. 採購單'!$A$1:$K$36</definedName>
    <definedName name="_xlnm.Print_Area" localSheetId="6">'3. 驗收單'!$A$1:$J$41</definedName>
    <definedName name="_xlnm.Print_Area" localSheetId="7">'4. 費用申請單'!$A$1:$J$39</definedName>
    <definedName name="_xlnm.Print_Area" localSheetId="8">'5.採購選手清單'!$A$1:$H$22</definedName>
    <definedName name="_xlnm.Print_Area" localSheetId="9">'6.客供資料卡'!$A$1:$J$20</definedName>
    <definedName name="_xlnm.Print_Area" localSheetId="0">請先閱讀!$A$1:$W$69</definedName>
    <definedName name="Text2" localSheetId="6">'3. 驗收單'!#REF!</definedName>
    <definedName name="Text3" localSheetId="6">'3. 驗收單'!#REF!</definedName>
    <definedName name="Text4" localSheetId="6">'3. 驗收單'!#REF!</definedName>
    <definedName name="weekday_option" localSheetId="7">MATCH(開始日,'4. 費用申請單'!工作日_反轉,0)-2</definedName>
    <definedName name="weekday_option" localSheetId="1">MATCH(開始日,各項支出報支規定!工作日_反轉,0)-2</definedName>
    <definedName name="Z_35D388E4_CC07_43EA_A28A_E86A81E2BB3C_.wvu.Cols" localSheetId="2" hidden="1">link!$C:$C,link!#REF!,link!#REF!</definedName>
    <definedName name="Z_35D388E4_CC07_43EA_A28A_E86A81E2BB3C_.wvu.FilterData" localSheetId="2" hidden="1">link!$F$1:$F$958</definedName>
    <definedName name="Z_35D388E4_CC07_43EA_A28A_E86A81E2BB3C_.wvu.PrintArea" localSheetId="3" hidden="1">'1.請購單'!$A$1:$J$30</definedName>
    <definedName name="Z_35D388E4_CC07_43EA_A28A_E86A81E2BB3C_.wvu.PrintArea" localSheetId="5" hidden="1">'2. 採購單'!$A$1:$K$36</definedName>
    <definedName name="Z_35D388E4_CC07_43EA_A28A_E86A81E2BB3C_.wvu.PrintArea" localSheetId="6" hidden="1">'3. 驗收單'!$A$1:$J$41</definedName>
    <definedName name="Z_35D388E4_CC07_43EA_A28A_E86A81E2BB3C_.wvu.PrintArea" localSheetId="7" hidden="1">'4. 費用申請單'!$A$1:$J$39</definedName>
    <definedName name="Z_35D388E4_CC07_43EA_A28A_E86A81E2BB3C_.wvu.PrintArea" localSheetId="8" hidden="1">'5.採購選手清單'!$A$1:$H$19</definedName>
    <definedName name="Z_F302B865_A6A8_495D_990E_57836014702E_.wvu.FilterData" localSheetId="2" hidden="1">link!$G$1:$G$958</definedName>
    <definedName name="工作日" localSheetId="7">{"星期一","星期二","星期三","星期四","星期五","星期六","星期日"}</definedName>
    <definedName name="工作日" localSheetId="1">{"星期一","星期二","星期三","星期四","星期五","星期六","星期日"}</definedName>
    <definedName name="工作日">{"星期一","星期二","星期三","星期四","星期五","星期六","星期日"}</definedName>
    <definedName name="工作日_反轉" localSheetId="7">{"星期日","星期六","星期五","星期四","星期三","星期二","星期一"}</definedName>
    <definedName name="工作日_反轉" localSheetId="1">{"星期日","星期六","星期五","星期四","星期三","星期二","星期一"}</definedName>
    <definedName name="日" localSheetId="7">{0,1,2,3,4,5,6}</definedName>
    <definedName name="日" localSheetId="1">{0,1,2,3,4,5,6}</definedName>
    <definedName name="日格線" localSheetId="7">'4. 費用申請單'!日+'4. 費用申請單'!週*7</definedName>
    <definedName name="日格線" localSheetId="1">各項支出報支規定!日+各項支出報支規定!週*7</definedName>
    <definedName name="日圖樣" localSheetId="7">{1,1,2,2,3,3,4,4,5,5,6,6,7}</definedName>
    <definedName name="日圖樣" localSheetId="1">{1,1,2,2,3,3,4,4,5,5,6,6,7}</definedName>
    <definedName name="月份" localSheetId="7">{"一月","二月","三月","四月","五月","六月","七月","八月","九月","十月","十一月","十二月"}</definedName>
    <definedName name="月份" localSheetId="1">{"一月","二月","三月","四月","五月","六月","七月","八月","九月","十月","十一月","十二月"}</definedName>
    <definedName name="月份">{"一月","二月","三月","四月","五月","六月","七月","八月","九月","十月","十一月","十二月"}</definedName>
    <definedName name="週" localSheetId="7">{0;1;2;3;4;5;6}</definedName>
    <definedName name="週" localSheetId="1">{0;1;2;3;4;5;6}</definedName>
  </definedNames>
  <calcPr calcId="191028"/>
  <customWorkbookViews>
    <customWorkbookView name="A" guid="{35D388E4-CC07-43EA-A28A-E86A81E2BB3C}" maximized="1" xWindow="-8" yWindow="-8" windowWidth="2576" windowHeight="1056" activeSheetId="7"/>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35" i="11" l="1"/>
  <c r="Y131" i="11"/>
  <c r="Y128" i="11"/>
  <c r="Y125" i="11"/>
  <c r="Y118" i="11"/>
  <c r="AA267" i="11"/>
  <c r="Z267" i="11"/>
  <c r="AA266" i="11"/>
  <c r="Z266" i="11"/>
  <c r="AA265" i="11"/>
  <c r="Z265" i="11"/>
  <c r="AA264" i="11"/>
  <c r="Z264" i="11"/>
  <c r="AA263" i="11"/>
  <c r="Z263" i="11"/>
  <c r="AA262" i="11"/>
  <c r="Z262" i="11"/>
  <c r="AA261" i="11"/>
  <c r="Z261" i="11"/>
  <c r="AA260" i="11"/>
  <c r="Z260" i="11"/>
  <c r="AA259" i="11"/>
  <c r="Z259" i="11"/>
  <c r="A40" i="11"/>
  <c r="AA258" i="11"/>
  <c r="Z258" i="11"/>
  <c r="AA257" i="11"/>
  <c r="Z257" i="11"/>
  <c r="AA256" i="11"/>
  <c r="Z256" i="11"/>
  <c r="AA255" i="11"/>
  <c r="Z255" i="11"/>
  <c r="AA254" i="11"/>
  <c r="Z254" i="11"/>
  <c r="AA253" i="11"/>
  <c r="Z253" i="11"/>
  <c r="AA252" i="11"/>
  <c r="Z252" i="11"/>
  <c r="AA251" i="11"/>
  <c r="Z251" i="11"/>
  <c r="AA250" i="11"/>
  <c r="Z250" i="11"/>
  <c r="A39" i="11"/>
  <c r="A38" i="11"/>
  <c r="A37" i="11"/>
  <c r="AI11" i="11"/>
  <c r="AA188" i="11" l="1"/>
  <c r="AA189" i="11"/>
  <c r="AA190" i="11"/>
  <c r="AA191" i="11"/>
  <c r="AA192" i="11"/>
  <c r="AA193" i="11"/>
  <c r="AA194" i="11"/>
  <c r="AA195" i="11"/>
  <c r="AA196" i="11"/>
  <c r="AA197" i="11"/>
  <c r="AA198" i="11"/>
  <c r="AA199" i="11"/>
  <c r="AA200" i="11"/>
  <c r="AA201" i="11"/>
  <c r="AA202" i="11"/>
  <c r="AA203" i="11"/>
  <c r="AA204" i="11"/>
  <c r="AA205" i="11"/>
  <c r="AA206" i="11"/>
  <c r="AA207" i="11"/>
  <c r="AA208" i="11"/>
  <c r="AA209" i="11"/>
  <c r="AA210" i="11"/>
  <c r="AA211" i="11"/>
  <c r="AA212" i="11"/>
  <c r="AA213" i="11"/>
  <c r="AA214" i="11"/>
  <c r="AA215" i="11"/>
  <c r="AA216" i="11"/>
  <c r="AA217" i="11"/>
  <c r="AA218" i="11"/>
  <c r="AA219" i="11"/>
  <c r="AA220" i="11"/>
  <c r="AA221" i="11"/>
  <c r="AA222" i="11"/>
  <c r="AA223" i="11"/>
  <c r="AA224"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68" i="11"/>
  <c r="AA269" i="11"/>
  <c r="AA270" i="11"/>
  <c r="AA271" i="11"/>
  <c r="AA272" i="11"/>
  <c r="AA273" i="11"/>
  <c r="AA274" i="11"/>
  <c r="AA275" i="11"/>
  <c r="AA276" i="11"/>
  <c r="AA277" i="11"/>
  <c r="AA278" i="11"/>
  <c r="AA279" i="11"/>
  <c r="AA280" i="11"/>
  <c r="AA281" i="11"/>
  <c r="AA282" i="11"/>
  <c r="AA283" i="11"/>
  <c r="AA284" i="11"/>
  <c r="AA285" i="11"/>
  <c r="AA286" i="11"/>
  <c r="AA287" i="11"/>
  <c r="AA288" i="11"/>
  <c r="AA289" i="11"/>
  <c r="AA290" i="11"/>
  <c r="AA291" i="11"/>
  <c r="AA292" i="11"/>
  <c r="AA293" i="11"/>
  <c r="AA294" i="11"/>
  <c r="AA187" i="11"/>
  <c r="AI17" i="11"/>
  <c r="AI20" i="11"/>
  <c r="AI21" i="11"/>
  <c r="AI22" i="11"/>
  <c r="X185" i="11" l="1"/>
  <c r="AA185" i="11" s="1"/>
  <c r="U185" i="11"/>
  <c r="Z185" i="11" s="1"/>
  <c r="X162" i="11"/>
  <c r="AA162" i="11" s="1"/>
  <c r="U162" i="11"/>
  <c r="Z162" i="11" s="1"/>
  <c r="X139" i="11"/>
  <c r="AA139" i="11" s="1"/>
  <c r="U139" i="11"/>
  <c r="Z139" i="11" s="1"/>
  <c r="X116" i="11"/>
  <c r="AA116" i="11" s="1"/>
  <c r="U116" i="11"/>
  <c r="Z116" i="11" s="1"/>
  <c r="X93" i="11"/>
  <c r="AA93" i="11" s="1"/>
  <c r="U93" i="11"/>
  <c r="Z93" i="11" s="1"/>
  <c r="X70" i="11"/>
  <c r="AA70" i="11" s="1"/>
  <c r="U70" i="11"/>
  <c r="Z70" i="11" s="1"/>
  <c r="U47" i="11"/>
  <c r="Z47" i="11" s="1"/>
  <c r="X47" i="11"/>
  <c r="AA47" i="11" s="1"/>
  <c r="AA3" i="11" l="1"/>
  <c r="AA4" i="11"/>
  <c r="AA5" i="11"/>
  <c r="AA6" i="11"/>
  <c r="AA7" i="11"/>
  <c r="AA8" i="11"/>
  <c r="AA9" i="11"/>
  <c r="AA10" i="11"/>
  <c r="AA11" i="11"/>
  <c r="AA12" i="11"/>
  <c r="AA13" i="11"/>
  <c r="AA15" i="11"/>
  <c r="AA16" i="11"/>
  <c r="AA17" i="11"/>
  <c r="AA26" i="11"/>
  <c r="AA27" i="11"/>
  <c r="AA28" i="11"/>
  <c r="AA29" i="11"/>
  <c r="AA30" i="11"/>
  <c r="AA31" i="11"/>
  <c r="AA32" i="11"/>
  <c r="AA33" i="11"/>
  <c r="AA34" i="11"/>
  <c r="AA35" i="11"/>
  <c r="AA36" i="11"/>
  <c r="AA37" i="11"/>
  <c r="AA39" i="11"/>
  <c r="AA40" i="11"/>
  <c r="AA41" i="11"/>
  <c r="AA49" i="11"/>
  <c r="AA50" i="11"/>
  <c r="AA51" i="11"/>
  <c r="AA52" i="11"/>
  <c r="AA53" i="11"/>
  <c r="AA54" i="11"/>
  <c r="AA55" i="11"/>
  <c r="AA56" i="11"/>
  <c r="AA57" i="11"/>
  <c r="AA58" i="11"/>
  <c r="AA59" i="11"/>
  <c r="AA60" i="11"/>
  <c r="AA62" i="11"/>
  <c r="AA63" i="11"/>
  <c r="AA64" i="11"/>
  <c r="AA72" i="11"/>
  <c r="AA73" i="11"/>
  <c r="AA74" i="11"/>
  <c r="AA75" i="11"/>
  <c r="AA76" i="11"/>
  <c r="AA77" i="11"/>
  <c r="AA78" i="11"/>
  <c r="AA79" i="11"/>
  <c r="AA80" i="11"/>
  <c r="AA81" i="11"/>
  <c r="AA82" i="11"/>
  <c r="AA83" i="11"/>
  <c r="AA85" i="11"/>
  <c r="AA86" i="11"/>
  <c r="AA87" i="11"/>
  <c r="AA95" i="11"/>
  <c r="AA96" i="11"/>
  <c r="AA97" i="11"/>
  <c r="AA98" i="11"/>
  <c r="AA99" i="11"/>
  <c r="AA100" i="11"/>
  <c r="AA101" i="11"/>
  <c r="AA102" i="11"/>
  <c r="AA103" i="11"/>
  <c r="AA104" i="11"/>
  <c r="AA105" i="11"/>
  <c r="AA106" i="11"/>
  <c r="AA108" i="11"/>
  <c r="AA109" i="11"/>
  <c r="AA110" i="11"/>
  <c r="AA118" i="11"/>
  <c r="AA119" i="11"/>
  <c r="AA120" i="11"/>
  <c r="AA121" i="11"/>
  <c r="AA122" i="11"/>
  <c r="AA123" i="11"/>
  <c r="AA124" i="11"/>
  <c r="AA125" i="11"/>
  <c r="AA126" i="11"/>
  <c r="AA127" i="11"/>
  <c r="AA128" i="11"/>
  <c r="AA129" i="11"/>
  <c r="AA131" i="11"/>
  <c r="AA132" i="11"/>
  <c r="AA133" i="11"/>
  <c r="AA141" i="11"/>
  <c r="AA142" i="11"/>
  <c r="AA143" i="11"/>
  <c r="AA144" i="11"/>
  <c r="AA145" i="11"/>
  <c r="AA146" i="11"/>
  <c r="AA147" i="11"/>
  <c r="AA148" i="11"/>
  <c r="AA149" i="11"/>
  <c r="AA150" i="11"/>
  <c r="AA151" i="11"/>
  <c r="AA152" i="11"/>
  <c r="AA154" i="11"/>
  <c r="AA155" i="11"/>
  <c r="AA156" i="11"/>
  <c r="AA164" i="11"/>
  <c r="AA165" i="11"/>
  <c r="AA166" i="11"/>
  <c r="AA167" i="11"/>
  <c r="AA168" i="11"/>
  <c r="AA169" i="11"/>
  <c r="AA170" i="11"/>
  <c r="AA171" i="11"/>
  <c r="AA172" i="11"/>
  <c r="AA173" i="11"/>
  <c r="AA174" i="11"/>
  <c r="AA175" i="11"/>
  <c r="AA177" i="11"/>
  <c r="AA178" i="11"/>
  <c r="AA179" i="11"/>
  <c r="AA2" i="11"/>
  <c r="Z233" i="11"/>
  <c r="Z234" i="11"/>
  <c r="Z235" i="11"/>
  <c r="Z236" i="11"/>
  <c r="Z237" i="11"/>
  <c r="Z238" i="11"/>
  <c r="Z239" i="11"/>
  <c r="Z240" i="11"/>
  <c r="Z241" i="11"/>
  <c r="Z242" i="11"/>
  <c r="Z243" i="11"/>
  <c r="Z244" i="11"/>
  <c r="Z245" i="11"/>
  <c r="Z246" i="11"/>
  <c r="Z247" i="11"/>
  <c r="Z248" i="11"/>
  <c r="Z249" i="11"/>
  <c r="Z232" i="11"/>
  <c r="AI12" i="11"/>
  <c r="AI13" i="11"/>
  <c r="AI14" i="11"/>
  <c r="AI15" i="11"/>
  <c r="AI16" i="11"/>
  <c r="U3" i="11"/>
  <c r="Z3" i="11" s="1"/>
  <c r="U4" i="11"/>
  <c r="Z4" i="11" s="1"/>
  <c r="U5" i="11"/>
  <c r="Z5" i="11" s="1"/>
  <c r="U6" i="11"/>
  <c r="Z6" i="11" s="1"/>
  <c r="U7" i="11"/>
  <c r="Z7" i="11" s="1"/>
  <c r="U8" i="11"/>
  <c r="Z8" i="11" s="1"/>
  <c r="U9" i="11"/>
  <c r="Z9" i="11" s="1"/>
  <c r="U10" i="11"/>
  <c r="Z10" i="11" s="1"/>
  <c r="U11" i="11"/>
  <c r="Z11" i="11" s="1"/>
  <c r="U12" i="11"/>
  <c r="Z12" i="11" s="1"/>
  <c r="U13" i="11"/>
  <c r="Z13" i="11" s="1"/>
  <c r="U14" i="11"/>
  <c r="U15" i="11"/>
  <c r="U16" i="11"/>
  <c r="Z16" i="11" s="1"/>
  <c r="U17" i="11"/>
  <c r="Z17" i="11" s="1"/>
  <c r="U18" i="11"/>
  <c r="Z18" i="11" s="1"/>
  <c r="U19" i="11"/>
  <c r="Z19" i="11" s="1"/>
  <c r="U20" i="11"/>
  <c r="Z20" i="11" s="1"/>
  <c r="U21" i="11"/>
  <c r="Z21" i="11" s="1"/>
  <c r="U22" i="11"/>
  <c r="Z22" i="11" s="1"/>
  <c r="U23" i="11"/>
  <c r="Z23" i="11" s="1"/>
  <c r="U24" i="11"/>
  <c r="Z24" i="11" s="1"/>
  <c r="U25" i="11"/>
  <c r="Z25" i="11" s="1"/>
  <c r="U26" i="11"/>
  <c r="Z26" i="11" s="1"/>
  <c r="U27" i="11"/>
  <c r="Z27" i="11" s="1"/>
  <c r="U28" i="11"/>
  <c r="Z28" i="11" s="1"/>
  <c r="U29" i="11"/>
  <c r="Z29" i="11" s="1"/>
  <c r="U30" i="11"/>
  <c r="Z30" i="11" s="1"/>
  <c r="U31" i="11"/>
  <c r="Z31" i="11" s="1"/>
  <c r="U32" i="11"/>
  <c r="Z32" i="11" s="1"/>
  <c r="U33" i="11"/>
  <c r="Z33" i="11" s="1"/>
  <c r="U34" i="11"/>
  <c r="Z34" i="11" s="1"/>
  <c r="U35" i="11"/>
  <c r="Z35" i="11" s="1"/>
  <c r="U36" i="11"/>
  <c r="Z36" i="11" s="1"/>
  <c r="U37" i="11"/>
  <c r="Z37" i="11" s="1"/>
  <c r="U38" i="11"/>
  <c r="Z38" i="11" s="1"/>
  <c r="U39" i="11"/>
  <c r="Z39" i="11" s="1"/>
  <c r="U40" i="11"/>
  <c r="Z40" i="11" s="1"/>
  <c r="U41" i="11"/>
  <c r="Z41" i="11" s="1"/>
  <c r="U42" i="11"/>
  <c r="Z42" i="11" s="1"/>
  <c r="U43" i="11"/>
  <c r="Z43" i="11" s="1"/>
  <c r="U44" i="11"/>
  <c r="Z44" i="11" s="1"/>
  <c r="U45" i="11"/>
  <c r="Z45" i="11" s="1"/>
  <c r="U46" i="11"/>
  <c r="Z46" i="11" s="1"/>
  <c r="U48" i="11"/>
  <c r="Z48" i="11" s="1"/>
  <c r="U49" i="11"/>
  <c r="Z49" i="11" s="1"/>
  <c r="U50" i="11"/>
  <c r="Z50" i="11" s="1"/>
  <c r="U51" i="11"/>
  <c r="Z51" i="11" s="1"/>
  <c r="U52" i="11"/>
  <c r="Z52" i="11" s="1"/>
  <c r="U53" i="11"/>
  <c r="Z53" i="11" s="1"/>
  <c r="U54" i="11"/>
  <c r="Z54" i="11" s="1"/>
  <c r="U55" i="11"/>
  <c r="Z55" i="11" s="1"/>
  <c r="U56" i="11"/>
  <c r="Z56" i="11" s="1"/>
  <c r="U57" i="11"/>
  <c r="Z57" i="11" s="1"/>
  <c r="U58" i="11"/>
  <c r="Z58" i="11" s="1"/>
  <c r="U59" i="11"/>
  <c r="Z59" i="11" s="1"/>
  <c r="U60" i="11"/>
  <c r="Z60" i="11" s="1"/>
  <c r="U61" i="11"/>
  <c r="Z61" i="11" s="1"/>
  <c r="U62" i="11"/>
  <c r="Z62" i="11" s="1"/>
  <c r="U63" i="11"/>
  <c r="Z63" i="11" s="1"/>
  <c r="U64" i="11"/>
  <c r="Z64" i="11" s="1"/>
  <c r="U65" i="11"/>
  <c r="Z65" i="11" s="1"/>
  <c r="U66" i="11"/>
  <c r="Z66" i="11" s="1"/>
  <c r="U67" i="11"/>
  <c r="Z67" i="11" s="1"/>
  <c r="U68" i="11"/>
  <c r="Z68" i="11" s="1"/>
  <c r="U69" i="11"/>
  <c r="Z69" i="11" s="1"/>
  <c r="U71" i="11"/>
  <c r="Z71" i="11" s="1"/>
  <c r="U72" i="11"/>
  <c r="Z72" i="11" s="1"/>
  <c r="U73" i="11"/>
  <c r="Z73" i="11" s="1"/>
  <c r="U74" i="11"/>
  <c r="Z74" i="11" s="1"/>
  <c r="U75" i="11"/>
  <c r="Z75" i="11" s="1"/>
  <c r="U76" i="11"/>
  <c r="Z76" i="11" s="1"/>
  <c r="U77" i="11"/>
  <c r="Z77" i="11" s="1"/>
  <c r="U78" i="11"/>
  <c r="Z78" i="11" s="1"/>
  <c r="U79" i="11"/>
  <c r="Z79" i="11" s="1"/>
  <c r="U80" i="11"/>
  <c r="Z80" i="11" s="1"/>
  <c r="U81" i="11"/>
  <c r="Z81" i="11" s="1"/>
  <c r="U82" i="11"/>
  <c r="Z82" i="11" s="1"/>
  <c r="U83" i="11"/>
  <c r="Z83" i="11" s="1"/>
  <c r="U84" i="11"/>
  <c r="Z84" i="11" s="1"/>
  <c r="U85" i="11"/>
  <c r="Z85" i="11" s="1"/>
  <c r="U86" i="11"/>
  <c r="Z86" i="11" s="1"/>
  <c r="U87" i="11"/>
  <c r="Z87" i="11" s="1"/>
  <c r="U88" i="11"/>
  <c r="Z88" i="11" s="1"/>
  <c r="U89" i="11"/>
  <c r="Z89" i="11" s="1"/>
  <c r="U90" i="11"/>
  <c r="Z90" i="11" s="1"/>
  <c r="U91" i="11"/>
  <c r="Z91" i="11" s="1"/>
  <c r="U92" i="11"/>
  <c r="Z92" i="11" s="1"/>
  <c r="U94" i="11"/>
  <c r="Z94" i="11" s="1"/>
  <c r="U95" i="11"/>
  <c r="Z95" i="11" s="1"/>
  <c r="U96" i="11"/>
  <c r="Z96" i="11" s="1"/>
  <c r="U97" i="11"/>
  <c r="Z97" i="11" s="1"/>
  <c r="U98" i="11"/>
  <c r="Z98" i="11" s="1"/>
  <c r="U99" i="11"/>
  <c r="Z99" i="11" s="1"/>
  <c r="U100" i="11"/>
  <c r="Z100" i="11" s="1"/>
  <c r="U101" i="11"/>
  <c r="Z101" i="11" s="1"/>
  <c r="U102" i="11"/>
  <c r="Z102" i="11" s="1"/>
  <c r="U103" i="11"/>
  <c r="Z103" i="11" s="1"/>
  <c r="U104" i="11"/>
  <c r="Z104" i="11" s="1"/>
  <c r="U105" i="11"/>
  <c r="Z105" i="11" s="1"/>
  <c r="U106" i="11"/>
  <c r="Z106" i="11" s="1"/>
  <c r="U107" i="11"/>
  <c r="Z107" i="11" s="1"/>
  <c r="U108" i="11"/>
  <c r="Z108" i="11" s="1"/>
  <c r="U109" i="11"/>
  <c r="Z109" i="11" s="1"/>
  <c r="U110" i="11"/>
  <c r="Z110" i="11" s="1"/>
  <c r="U111" i="11"/>
  <c r="Z111" i="11" s="1"/>
  <c r="U112" i="11"/>
  <c r="Z112" i="11" s="1"/>
  <c r="U113" i="11"/>
  <c r="Z113" i="11" s="1"/>
  <c r="U114" i="11"/>
  <c r="Z114" i="11" s="1"/>
  <c r="U115" i="11"/>
  <c r="Z115" i="11" s="1"/>
  <c r="U117" i="11"/>
  <c r="Z117" i="11" s="1"/>
  <c r="U118" i="11"/>
  <c r="Z118" i="11" s="1"/>
  <c r="U119" i="11"/>
  <c r="Z119" i="11" s="1"/>
  <c r="U120" i="11"/>
  <c r="Z120" i="11" s="1"/>
  <c r="U121" i="11"/>
  <c r="Z121" i="11" s="1"/>
  <c r="U122" i="11"/>
  <c r="Z122" i="11" s="1"/>
  <c r="U123" i="11"/>
  <c r="Z123" i="11" s="1"/>
  <c r="U124" i="11"/>
  <c r="Z124" i="11" s="1"/>
  <c r="U125" i="11"/>
  <c r="Z125" i="11" s="1"/>
  <c r="U126" i="11"/>
  <c r="Z126" i="11" s="1"/>
  <c r="U127" i="11"/>
  <c r="Z127" i="11" s="1"/>
  <c r="U128" i="11"/>
  <c r="Z128" i="11" s="1"/>
  <c r="U129" i="11"/>
  <c r="Z129" i="11" s="1"/>
  <c r="U130" i="11"/>
  <c r="Z130" i="11" s="1"/>
  <c r="U131" i="11"/>
  <c r="Z131" i="11" s="1"/>
  <c r="U132" i="11"/>
  <c r="Z132" i="11" s="1"/>
  <c r="U133" i="11"/>
  <c r="Z133" i="11" s="1"/>
  <c r="U134" i="11"/>
  <c r="Z134" i="11" s="1"/>
  <c r="U135" i="11"/>
  <c r="Z135" i="11" s="1"/>
  <c r="U136" i="11"/>
  <c r="Z136" i="11" s="1"/>
  <c r="U137" i="11"/>
  <c r="Z137" i="11" s="1"/>
  <c r="U138" i="11"/>
  <c r="Z138" i="11" s="1"/>
  <c r="U140" i="11"/>
  <c r="Z140" i="11" s="1"/>
  <c r="U141" i="11"/>
  <c r="Z141" i="11" s="1"/>
  <c r="U142" i="11"/>
  <c r="Z142" i="11" s="1"/>
  <c r="U143" i="11"/>
  <c r="Z143" i="11" s="1"/>
  <c r="U144" i="11"/>
  <c r="Z144" i="11" s="1"/>
  <c r="U145" i="11"/>
  <c r="Z145" i="11" s="1"/>
  <c r="U146" i="11"/>
  <c r="Z146" i="11" s="1"/>
  <c r="U147" i="11"/>
  <c r="Z147" i="11" s="1"/>
  <c r="U148" i="11"/>
  <c r="Z148" i="11" s="1"/>
  <c r="U149" i="11"/>
  <c r="Z149" i="11" s="1"/>
  <c r="U150" i="11"/>
  <c r="Z150" i="11" s="1"/>
  <c r="U151" i="11"/>
  <c r="Z151" i="11" s="1"/>
  <c r="U152" i="11"/>
  <c r="Z152" i="11" s="1"/>
  <c r="U153" i="11"/>
  <c r="Z153" i="11" s="1"/>
  <c r="U154" i="11"/>
  <c r="Z154" i="11" s="1"/>
  <c r="U155" i="11"/>
  <c r="Z155" i="11" s="1"/>
  <c r="U156" i="11"/>
  <c r="Z156" i="11" s="1"/>
  <c r="U157" i="11"/>
  <c r="Z157" i="11" s="1"/>
  <c r="U158" i="11"/>
  <c r="Z158" i="11" s="1"/>
  <c r="U159" i="11"/>
  <c r="Z159" i="11" s="1"/>
  <c r="U160" i="11"/>
  <c r="Z160" i="11" s="1"/>
  <c r="U161" i="11"/>
  <c r="Z161" i="11" s="1"/>
  <c r="U163" i="11"/>
  <c r="Z163" i="11" s="1"/>
  <c r="U164" i="11"/>
  <c r="Z164" i="11" s="1"/>
  <c r="U165" i="11"/>
  <c r="Z165" i="11" s="1"/>
  <c r="U166" i="11"/>
  <c r="Z166" i="11" s="1"/>
  <c r="U167" i="11"/>
  <c r="Z167" i="11" s="1"/>
  <c r="U168" i="11"/>
  <c r="Z168" i="11" s="1"/>
  <c r="U169" i="11"/>
  <c r="Z169" i="11" s="1"/>
  <c r="U170" i="11"/>
  <c r="Z170" i="11" s="1"/>
  <c r="U171" i="11"/>
  <c r="Z171" i="11" s="1"/>
  <c r="U172" i="11"/>
  <c r="Z172" i="11" s="1"/>
  <c r="U173" i="11"/>
  <c r="Z173" i="11" s="1"/>
  <c r="U174" i="11"/>
  <c r="Z174" i="11" s="1"/>
  <c r="U175" i="11"/>
  <c r="Z175" i="11" s="1"/>
  <c r="U176" i="11"/>
  <c r="Z176" i="11" s="1"/>
  <c r="U177" i="11"/>
  <c r="Z177" i="11" s="1"/>
  <c r="U178" i="11"/>
  <c r="Z178" i="11" s="1"/>
  <c r="U179" i="11"/>
  <c r="Z179" i="11" s="1"/>
  <c r="U180" i="11"/>
  <c r="Z180" i="11" s="1"/>
  <c r="U181" i="11"/>
  <c r="Z181" i="11" s="1"/>
  <c r="U182" i="11"/>
  <c r="Z182" i="11" s="1"/>
  <c r="U183" i="11"/>
  <c r="Z183" i="11" s="1"/>
  <c r="U184" i="11"/>
  <c r="Z184" i="11" s="1"/>
  <c r="U186" i="11"/>
  <c r="Z186" i="11" s="1"/>
  <c r="U2" i="11"/>
  <c r="Z2" i="11" s="1"/>
  <c r="A35" i="11"/>
  <c r="A36" i="11"/>
  <c r="A33" i="11"/>
  <c r="A34" i="11"/>
  <c r="C10" i="1"/>
  <c r="C11" i="1"/>
  <c r="E11" i="1" s="1"/>
  <c r="A32" i="11"/>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2" i="11"/>
  <c r="C5" i="18"/>
  <c r="G5" i="16"/>
  <c r="G6" i="16"/>
  <c r="A1" i="18"/>
  <c r="E10" i="1" l="1"/>
  <c r="B11" i="2"/>
  <c r="J12" i="2"/>
  <c r="J13" i="2"/>
  <c r="J14" i="2"/>
  <c r="J15" i="2"/>
  <c r="J16" i="2"/>
  <c r="J11" i="2"/>
  <c r="X23" i="11" l="1"/>
  <c r="AA23" i="11" s="1"/>
  <c r="X186" i="11" l="1"/>
  <c r="AA186" i="11" s="1"/>
  <c r="X184" i="11"/>
  <c r="AA184" i="11" s="1"/>
  <c r="X183" i="11"/>
  <c r="AA183" i="11" s="1"/>
  <c r="X182" i="11"/>
  <c r="AA182" i="11" s="1"/>
  <c r="X181" i="11"/>
  <c r="AA181" i="11" s="1"/>
  <c r="X180" i="11"/>
  <c r="AA180" i="11" s="1"/>
  <c r="X176" i="11"/>
  <c r="AA176" i="11" s="1"/>
  <c r="X163" i="11"/>
  <c r="AA163" i="11" s="1"/>
  <c r="X161" i="11"/>
  <c r="AA161" i="11" s="1"/>
  <c r="X160" i="11"/>
  <c r="AA160" i="11" s="1"/>
  <c r="X159" i="11"/>
  <c r="AA159" i="11" s="1"/>
  <c r="X158" i="11"/>
  <c r="AA158" i="11" s="1"/>
  <c r="X157" i="11"/>
  <c r="AA157" i="11" s="1"/>
  <c r="X153" i="11"/>
  <c r="AA153" i="11" s="1"/>
  <c r="X14" i="11"/>
  <c r="X38" i="11"/>
  <c r="AA38" i="11" s="1"/>
  <c r="X61" i="11"/>
  <c r="AA61" i="11" s="1"/>
  <c r="X84" i="11"/>
  <c r="AA84" i="11" s="1"/>
  <c r="X107" i="11"/>
  <c r="AA107" i="11" s="1"/>
  <c r="X130" i="11"/>
  <c r="AA130" i="11" s="1"/>
  <c r="X140" i="11"/>
  <c r="AA140" i="11" s="1"/>
  <c r="X138" i="11"/>
  <c r="AA138" i="11" s="1"/>
  <c r="X137" i="11"/>
  <c r="AA137" i="11" s="1"/>
  <c r="X136" i="11"/>
  <c r="AA136" i="11" s="1"/>
  <c r="X135" i="11"/>
  <c r="AA135" i="11" s="1"/>
  <c r="X134" i="11"/>
  <c r="AA134" i="11" s="1"/>
  <c r="X117" i="11"/>
  <c r="AA117" i="11" s="1"/>
  <c r="X115" i="11"/>
  <c r="AA115" i="11" s="1"/>
  <c r="X114" i="11"/>
  <c r="AA114" i="11" s="1"/>
  <c r="X113" i="11"/>
  <c r="AA113" i="11" s="1"/>
  <c r="X112" i="11"/>
  <c r="AA112" i="11" s="1"/>
  <c r="X111" i="11"/>
  <c r="AA111" i="11" s="1"/>
  <c r="X94" i="11"/>
  <c r="AA94" i="11" s="1"/>
  <c r="X92" i="11"/>
  <c r="AA92" i="11" s="1"/>
  <c r="X91" i="11"/>
  <c r="AA91" i="11" s="1"/>
  <c r="X90" i="11"/>
  <c r="AA90" i="11" s="1"/>
  <c r="X89" i="11"/>
  <c r="AA89" i="11" s="1"/>
  <c r="X88" i="11"/>
  <c r="AA88" i="11" s="1"/>
  <c r="X71" i="11"/>
  <c r="AA71" i="11" s="1"/>
  <c r="X69" i="11"/>
  <c r="AA69" i="11" s="1"/>
  <c r="X68" i="11"/>
  <c r="AA68" i="11" s="1"/>
  <c r="X67" i="11"/>
  <c r="AA67" i="11" s="1"/>
  <c r="X66" i="11"/>
  <c r="AA66" i="11" s="1"/>
  <c r="X65" i="11"/>
  <c r="AA65" i="11" s="1"/>
  <c r="X48" i="11"/>
  <c r="AA48" i="11" s="1"/>
  <c r="X46" i="11"/>
  <c r="AA46" i="11" s="1"/>
  <c r="X45" i="11"/>
  <c r="AA45" i="11" s="1"/>
  <c r="X44" i="11"/>
  <c r="AA44" i="11" s="1"/>
  <c r="X43" i="11"/>
  <c r="AA43" i="11" s="1"/>
  <c r="X42" i="11"/>
  <c r="AA42" i="11" s="1"/>
  <c r="Z14" i="11" l="1"/>
  <c r="AA14" i="11"/>
  <c r="Z15" i="11"/>
  <c r="X25" i="11"/>
  <c r="AA25" i="11" s="1"/>
  <c r="X24" i="11"/>
  <c r="AA24" i="11" s="1"/>
  <c r="X20" i="11"/>
  <c r="AA20" i="11" s="1"/>
  <c r="X21" i="11"/>
  <c r="AA21" i="11" s="1"/>
  <c r="X22" i="11"/>
  <c r="AA22" i="11" s="1"/>
  <c r="X19" i="11"/>
  <c r="AA19" i="11" s="1"/>
  <c r="X18" i="11"/>
  <c r="AA18" i="11" s="1"/>
  <c r="F16" i="3" l="1"/>
  <c r="E16" i="3"/>
  <c r="F15" i="3"/>
  <c r="E15" i="3"/>
  <c r="C12" i="1"/>
  <c r="E12" i="1" s="1"/>
  <c r="C13" i="1"/>
  <c r="E13" i="1" s="1"/>
  <c r="C14" i="1"/>
  <c r="C15" i="1"/>
  <c r="AI9" i="11"/>
  <c r="AI8" i="11"/>
  <c r="AI7" i="11"/>
  <c r="AI6" i="11"/>
  <c r="AI5" i="11"/>
  <c r="AI4" i="11"/>
  <c r="AI3" i="11"/>
  <c r="AI2" i="11"/>
  <c r="I16" i="1" l="1"/>
  <c r="I15" i="7"/>
  <c r="J17" i="2" l="1"/>
  <c r="C9" i="7" l="1"/>
  <c r="E9" i="7" s="1"/>
  <c r="C10" i="7"/>
  <c r="E10" i="7" s="1"/>
  <c r="C11" i="7"/>
  <c r="E11" i="7" s="1"/>
  <c r="C12" i="7"/>
  <c r="E12" i="7" s="1"/>
  <c r="C13" i="7"/>
  <c r="E13" i="7" s="1"/>
  <c r="C14" i="7"/>
  <c r="E14" i="7" s="1"/>
  <c r="C37" i="7" l="1"/>
  <c r="D37" i="7"/>
  <c r="E37" i="7"/>
  <c r="C35" i="7"/>
  <c r="D35" i="7"/>
  <c r="H6" i="7"/>
  <c r="H5" i="7"/>
  <c r="G5" i="7"/>
  <c r="F25" i="1"/>
  <c r="B12" i="2"/>
  <c r="E14" i="3"/>
  <c r="E13" i="3"/>
  <c r="E12" i="3"/>
  <c r="E11" i="3"/>
  <c r="G5" i="3"/>
  <c r="C34" i="2" l="1"/>
  <c r="A39" i="3" s="1"/>
  <c r="E15" i="1"/>
  <c r="D34" i="2"/>
  <c r="C39" i="3" s="1"/>
  <c r="E14" i="1"/>
  <c r="E34" i="2"/>
  <c r="D39" i="3" s="1"/>
  <c r="B13" i="2"/>
  <c r="B13" i="3" s="1"/>
  <c r="E35" i="7"/>
  <c r="E32" i="2"/>
  <c r="D32" i="2"/>
  <c r="C37" i="3" s="1"/>
  <c r="C32" i="2"/>
  <c r="A37" i="3" s="1"/>
  <c r="B14" i="2"/>
  <c r="B14" i="3" s="1"/>
  <c r="B16" i="2"/>
  <c r="B16" i="3" s="1"/>
  <c r="B15" i="2"/>
  <c r="B15" i="3" s="1"/>
  <c r="C6" i="2"/>
  <c r="C6" i="3" s="1"/>
  <c r="C5" i="2"/>
  <c r="I8" i="2" s="1"/>
  <c r="B12" i="3"/>
  <c r="B11" i="3"/>
  <c r="D37" i="3" l="1"/>
  <c r="H5" i="1"/>
  <c r="G5" i="1"/>
  <c r="F32" i="2"/>
  <c r="E37" i="3" s="1"/>
  <c r="D27" i="1"/>
  <c r="C5" i="1"/>
  <c r="H7" i="1" s="1"/>
  <c r="C7" i="2" l="1"/>
  <c r="G6" i="3" s="1"/>
  <c r="D25" i="1"/>
  <c r="C27" i="1"/>
  <c r="E27" i="1" l="1"/>
  <c r="C25" i="1"/>
  <c r="E25" i="1"/>
  <c r="A1" i="16" l="1"/>
  <c r="A19" i="2" l="1"/>
  <c r="C5" i="16" l="1"/>
  <c r="C11" i="2"/>
  <c r="C5" i="3"/>
  <c r="F14" i="3" l="1"/>
  <c r="F13" i="3"/>
  <c r="F12" i="3"/>
  <c r="F11" i="3"/>
  <c r="C12" i="2"/>
  <c r="C13" i="2"/>
  <c r="C14" i="2"/>
  <c r="C15" i="2"/>
  <c r="C15" i="3" s="1"/>
  <c r="C16" i="2"/>
  <c r="C16" i="3" s="1"/>
  <c r="D15" i="2" l="1"/>
  <c r="D15" i="3" s="1"/>
  <c r="D16" i="2"/>
  <c r="D16" i="3" s="1"/>
  <c r="D13" i="2"/>
  <c r="D14" i="2"/>
  <c r="D12" i="2"/>
  <c r="A1" i="7"/>
  <c r="A1" i="3"/>
  <c r="A1" i="2"/>
  <c r="F35" i="7" l="1"/>
  <c r="F5" i="16"/>
  <c r="H35" i="7"/>
  <c r="H6" i="1"/>
  <c r="C8" i="2" s="1"/>
  <c r="G7" i="3" s="1"/>
  <c r="C5" i="7"/>
  <c r="C14" i="3"/>
  <c r="C13" i="3"/>
  <c r="C12" i="3"/>
  <c r="C11" i="3"/>
  <c r="D14" i="3"/>
  <c r="D13" i="3"/>
  <c r="D12" i="3"/>
  <c r="A35" i="7" l="1"/>
  <c r="H32" i="2"/>
  <c r="G25" i="1"/>
  <c r="A25" i="1" s="1"/>
  <c r="B18" i="2"/>
  <c r="F37" i="3" l="1"/>
  <c r="A32" i="2"/>
  <c r="D11" i="2"/>
  <c r="D11" i="3" s="1"/>
</calcChain>
</file>

<file path=xl/sharedStrings.xml><?xml version="1.0" encoding="utf-8"?>
<sst xmlns="http://schemas.openxmlformats.org/spreadsheetml/2006/main" count="2631" uniqueCount="918">
  <si>
    <t>台灣智慧駕駛股份有限公司</t>
    <phoneticPr fontId="3" type="noConversion"/>
  </si>
  <si>
    <t>採購流程圖</t>
    <phoneticPr fontId="3" type="noConversion"/>
  </si>
  <si>
    <r>
      <rPr>
        <b/>
        <sz val="12"/>
        <color theme="1"/>
        <rFont val="微軟正黑體"/>
        <family val="2"/>
        <charset val="136"/>
      </rPr>
      <t>情況一：符合以下兩條件可委由管理部進行採購單申請、費用申請以及廠商聯繫等作業</t>
    </r>
    <r>
      <rPr>
        <sz val="12"/>
        <color theme="1"/>
        <rFont val="微軟正黑體"/>
        <family val="2"/>
        <charset val="136"/>
      </rPr>
      <t xml:space="preserve">
                   </t>
    </r>
    <r>
      <rPr>
        <sz val="12"/>
        <color rgb="FFFF0000"/>
        <rFont val="微軟正黑體"/>
        <family val="2"/>
        <charset val="136"/>
      </rPr>
      <t>條件1. 同廠商、同品項
                   條件2. 第二次採購</t>
    </r>
    <r>
      <rPr>
        <sz val="12"/>
        <color theme="1"/>
        <rFont val="微軟正黑體"/>
        <family val="2"/>
        <charset val="136"/>
      </rPr>
      <t xml:space="preserve">
             需求單位應執行表單(藍底表單)：請購單、採購選手清單、客供資料卡、驗收單
             </t>
    </r>
    <r>
      <rPr>
        <sz val="12"/>
        <color theme="9" tint="-0.249977111117893"/>
        <rFont val="微軟正黑體"/>
        <family val="2"/>
        <charset val="136"/>
      </rPr>
      <t xml:space="preserve">管理部應執行表單(綠底表單)：採購單、費用申請單(管理部會根據採購選手清單向廠商取得報價單進行後續採購直到出貨)
</t>
    </r>
    <r>
      <rPr>
        <b/>
        <sz val="12"/>
        <color theme="1"/>
        <rFont val="微軟正黑體"/>
        <family val="2"/>
        <charset val="136"/>
      </rPr>
      <t xml:space="preserve">
情況二：若不符合以上條件</t>
    </r>
    <r>
      <rPr>
        <b/>
        <sz val="12"/>
        <color theme="1"/>
        <rFont val="Microsoft JhengHei UI"/>
        <family val="2"/>
        <charset val="136"/>
      </rPr>
      <t>，需求單位應自行完成全部流程</t>
    </r>
    <r>
      <rPr>
        <b/>
        <sz val="12"/>
        <color theme="1"/>
        <rFont val="微軟正黑體"/>
        <family val="2"/>
        <charset val="136"/>
      </rPr>
      <t xml:space="preserve">
</t>
    </r>
    <r>
      <rPr>
        <sz val="12"/>
        <color theme="1"/>
        <rFont val="微軟正黑體"/>
        <family val="2"/>
        <charset val="136"/>
      </rPr>
      <t xml:space="preserve">              需求單位應執行表單(藍底表單)：請購單、採購單、費用申請單、驗收單</t>
    </r>
    <phoneticPr fontId="3" type="noConversion"/>
  </si>
  <si>
    <r>
      <rPr>
        <b/>
        <sz val="12"/>
        <color rgb="FFFF0000"/>
        <rFont val="微軟正黑體"/>
        <family val="2"/>
        <charset val="136"/>
      </rPr>
      <t>Step1.</t>
    </r>
    <r>
      <rPr>
        <sz val="12"/>
        <color theme="1"/>
        <rFont val="微軟正黑體"/>
        <family val="2"/>
        <charset val="136"/>
      </rPr>
      <t xml:space="preserve">
在一切開始之前，請先判斷本次費用是否需要走採購程序，可參考「各項支出報支規定」
採購程序包含: 請購、採購、驗收、費用申請
非採購程序者，僅需費用申請</t>
    </r>
    <phoneticPr fontId="3" type="noConversion"/>
  </si>
  <si>
    <t>Step2.請購單</t>
    <phoneticPr fontId="3" type="noConversion"/>
  </si>
  <si>
    <t>請購步驟及注意事項</t>
    <phoneticPr fontId="3" type="noConversion"/>
  </si>
  <si>
    <t>1. 選取預算來源跟項目後會自動帶出預算編號，若無，請走預算新增流程</t>
    <phoneticPr fontId="3" type="noConversion"/>
  </si>
  <si>
    <t>2. 請購單號找總務索取</t>
  </si>
  <si>
    <t>3.請申請人填寫工號後確認部門等簽核資訊是否正確</t>
  </si>
  <si>
    <t>4. 預計需求天數為這個採購需要幾天內完成(到貨)，會自動推算出日期</t>
  </si>
  <si>
    <t>5. 同一預算來源且同一供應商者可合併請購</t>
  </si>
  <si>
    <t>Step3.採購單</t>
    <phoneticPr fontId="3" type="noConversion"/>
  </si>
  <si>
    <t>採購步驟及注意事項_x000B_</t>
    <phoneticPr fontId="3" type="noConversion"/>
  </si>
  <si>
    <t>1. 請購完成後才可啟動採購</t>
  </si>
  <si>
    <t>2.採購單號由請購單自動帶出</t>
    <phoneticPr fontId="3" type="noConversion"/>
  </si>
  <si>
    <t>3. 採購廠商需手動填寫</t>
    <phoneticPr fontId="3" type="noConversion"/>
  </si>
  <si>
    <t>4.付款方式及付款條件須選填，若為分期，請於備註欄填寫分期方式；例如12期、30%訂金</t>
    <phoneticPr fontId="3" type="noConversion"/>
  </si>
  <si>
    <t>5.填寫金額應包含所有相關費用，訂單金額、運費、關稅、保險費…等</t>
  </si>
  <si>
    <t>6.關於報價單，10萬以上需有三家、30001-99999需2家、3萬以下僅需1家，特殊採購得經申請免付多家  報價單，請於附件下方勾選" Y "</t>
    <phoneticPr fontId="3" type="noConversion"/>
  </si>
  <si>
    <t>7.採購資料如有不實者，將依人事獎懲制度處置</t>
  </si>
  <si>
    <t>Step4.驗收單</t>
    <phoneticPr fontId="3" type="noConversion"/>
  </si>
  <si>
    <t>驗收步驟及注意事項_x000B_</t>
    <phoneticPr fontId="3" type="noConversion"/>
  </si>
  <si>
    <t>1. 承攬廠商需手動瑱入</t>
    <phoneticPr fontId="3" type="noConversion"/>
  </si>
  <si>
    <t>2. 由需求單位視情況檢附驗收單據</t>
  </si>
  <si>
    <t>3.採購完成後，進口報關事項由總務部門負責</t>
  </si>
  <si>
    <t>4. 財產編號欄位由財務部門填寫</t>
    <phoneticPr fontId="3" type="noConversion"/>
  </si>
  <si>
    <t>Step5.費用申請單</t>
    <phoneticPr fontId="3" type="noConversion"/>
  </si>
  <si>
    <t>費用申請步驟及注意事項_x000B_</t>
    <phoneticPr fontId="3" type="noConversion"/>
  </si>
  <si>
    <t>1.選填預算來源</t>
    <phoneticPr fontId="3" type="noConversion"/>
  </si>
  <si>
    <t>2.選填工號</t>
    <phoneticPr fontId="3" type="noConversion"/>
  </si>
  <si>
    <t>3.選填項目並填寫內容及金額</t>
    <phoneticPr fontId="3" type="noConversion"/>
  </si>
  <si>
    <t>4.付款資訊欄位皆需填具完整</t>
    <phoneticPr fontId="3" type="noConversion"/>
  </si>
  <si>
    <t>5.25號付款，收件截止是為前5個工作日，急件需主管發信同意</t>
  </si>
  <si>
    <t>6.員工代墊為15號與30號，收件截止為前5個工作天</t>
  </si>
  <si>
    <t>7.所有憑證僅收上個月份與本月份</t>
  </si>
  <si>
    <t>8.缺少憑證不付款，5日內完成補件才付款</t>
  </si>
  <si>
    <t>其他注意事項</t>
    <phoneticPr fontId="3" type="noConversion"/>
  </si>
  <si>
    <t>1. 同一合約之分批次供貨僅需請購與採購一次，驗收與費用申請得重複進行</t>
    <phoneticPr fontId="3" type="noConversion"/>
  </si>
  <si>
    <t>2.以上每個申請單皆需簽核完成，始得下個申請單流程開始</t>
    <phoneticPr fontId="3" type="noConversion"/>
  </si>
  <si>
    <t>項目彙總</t>
    <phoneticPr fontId="10" type="noConversion"/>
  </si>
  <si>
    <t>參考案例</t>
    <phoneticPr fontId="3" type="noConversion"/>
  </si>
  <si>
    <t>支出報支規定</t>
    <phoneticPr fontId="10" type="noConversion"/>
  </si>
  <si>
    <t>使用表單</t>
    <phoneticPr fontId="3" type="noConversion"/>
  </si>
  <si>
    <t>人事費(薪資、退休金)</t>
  </si>
  <si>
    <t>常態薪資、臨時人力</t>
    <phoneticPr fontId="3" type="noConversion"/>
  </si>
  <si>
    <t>薪工循環</t>
    <phoneticPr fontId="10" type="noConversion"/>
  </si>
  <si>
    <t>人力需求申請單</t>
    <phoneticPr fontId="3" type="noConversion"/>
  </si>
  <si>
    <t>訓練費</t>
  </si>
  <si>
    <t>教育訓練費</t>
    <phoneticPr fontId="3" type="noConversion"/>
  </si>
  <si>
    <t>教育訓練申請單、教育訓練報告單、費用申請單</t>
    <phoneticPr fontId="3" type="noConversion"/>
  </si>
  <si>
    <t>租金支出</t>
  </si>
  <si>
    <t>辦公室租金</t>
    <phoneticPr fontId="3" type="noConversion"/>
  </si>
  <si>
    <r>
      <t>單筆10,001以上=&gt;採購流程→
單筆10,000以下=&gt;費用報支流程</t>
    </r>
    <r>
      <rPr>
        <sz val="12"/>
        <color rgb="FF000000"/>
        <rFont val="微軟正黑體"/>
        <family val="1"/>
        <charset val="136"/>
      </rPr>
      <t>→</t>
    </r>
    <phoneticPr fontId="10" type="noConversion"/>
  </si>
  <si>
    <t>請購申請單、採購申請單、驗收單、費用申請單
費用申請單</t>
    <phoneticPr fontId="3" type="noConversion"/>
  </si>
  <si>
    <t>廣告費</t>
  </si>
  <si>
    <t>廣宣費用</t>
    <phoneticPr fontId="3" type="noConversion"/>
  </si>
  <si>
    <t>勞務費</t>
  </si>
  <si>
    <t>委外勞務</t>
    <phoneticPr fontId="3" type="noConversion"/>
  </si>
  <si>
    <t>保險費</t>
    <phoneticPr fontId="10" type="noConversion"/>
  </si>
  <si>
    <t>團保、火險、公共意外責任險</t>
    <phoneticPr fontId="3" type="noConversion"/>
  </si>
  <si>
    <t>開發費</t>
  </si>
  <si>
    <t>委外開發</t>
    <phoneticPr fontId="3" type="noConversion"/>
  </si>
  <si>
    <t>郵電費</t>
  </si>
  <si>
    <t>SIM卡費用、電話費、郵票</t>
    <phoneticPr fontId="3" type="noConversion"/>
  </si>
  <si>
    <t>材料</t>
    <phoneticPr fontId="3" type="noConversion"/>
  </si>
  <si>
    <t>耗材、材料</t>
    <phoneticPr fontId="3" type="noConversion"/>
  </si>
  <si>
    <t>設備</t>
    <phoneticPr fontId="10" type="noConversion"/>
  </si>
  <si>
    <t>設備購置</t>
    <phoneticPr fontId="3" type="noConversion"/>
  </si>
  <si>
    <t>雜費</t>
    <phoneticPr fontId="10" type="noConversion"/>
  </si>
  <si>
    <t>雜費</t>
    <phoneticPr fontId="3" type="noConversion"/>
  </si>
  <si>
    <t>運費</t>
  </si>
  <si>
    <t>運費</t>
    <phoneticPr fontId="3" type="noConversion"/>
  </si>
  <si>
    <t>設備維護費</t>
  </si>
  <si>
    <t>設備保養費</t>
    <phoneticPr fontId="3" type="noConversion"/>
  </si>
  <si>
    <t>交際費</t>
  </si>
  <si>
    <t>交際費</t>
    <phoneticPr fontId="3" type="noConversion"/>
  </si>
  <si>
    <t>費用報支流程</t>
    <phoneticPr fontId="10" type="noConversion"/>
  </si>
  <si>
    <t>費用申請單</t>
    <phoneticPr fontId="3" type="noConversion"/>
  </si>
  <si>
    <t>職工福利</t>
  </si>
  <si>
    <t>部門聚餐</t>
    <phoneticPr fontId="3" type="noConversion"/>
  </si>
  <si>
    <t>注意事項：（採購請款流程時常見錯誤）</t>
    <phoneticPr fontId="3" type="noConversion"/>
  </si>
  <si>
    <r>
      <t>　1. 請購申請單中的</t>
    </r>
    <r>
      <rPr>
        <b/>
        <sz val="12"/>
        <color rgb="FF0000FF"/>
        <rFont val="微軟正黑體"/>
        <family val="2"/>
        <charset val="136"/>
      </rPr>
      <t>請購單號需向財會取號</t>
    </r>
    <r>
      <rPr>
        <sz val="12"/>
        <color theme="1"/>
        <rFont val="微軟正黑體"/>
        <family val="2"/>
        <charset val="136"/>
      </rPr>
      <t>。</t>
    </r>
    <phoneticPr fontId="3" type="noConversion"/>
  </si>
  <si>
    <t>　2. 如為國內廠商以外幣進行報價及收付款，請確定交易金額是否需含本國營業稅5%及該交易憑證開立方式。</t>
    <phoneticPr fontId="3" type="noConversion"/>
  </si>
  <si>
    <t>　4. 廠商報價單上的付款條件，需能對應到該費用申請單的期望付款日。（舉例說明：假設廠商報價單寫月結30日，但是申請人已寫費用申請單申請預付，是不符合本次採購付款條件，將會退回費用申請單。）</t>
    <phoneticPr fontId="3" type="noConversion"/>
  </si>
  <si>
    <r>
      <t>　5. 發票和免用統一發票收據的</t>
    </r>
    <r>
      <rPr>
        <b/>
        <sz val="12"/>
        <color rgb="FF0000FF"/>
        <rFont val="微軟正黑體"/>
        <family val="2"/>
        <charset val="136"/>
      </rPr>
      <t>總計中文大寫處誤寫成阿拉伯數字</t>
    </r>
    <r>
      <rPr>
        <sz val="12"/>
        <color theme="1"/>
        <rFont val="微軟正黑體"/>
        <family val="2"/>
        <charset val="136"/>
      </rPr>
      <t>，請寫”</t>
    </r>
    <r>
      <rPr>
        <b/>
        <sz val="12"/>
        <color rgb="FF0000FF"/>
        <rFont val="微軟正黑體"/>
        <family val="2"/>
        <charset val="136"/>
      </rPr>
      <t>零壹貳參肆伍陸柒捌玖</t>
    </r>
    <r>
      <rPr>
        <sz val="12"/>
        <color theme="1"/>
        <rFont val="微軟正黑體"/>
        <family val="2"/>
        <charset val="136"/>
      </rPr>
      <t>”。</t>
    </r>
    <phoneticPr fontId="3" type="noConversion"/>
  </si>
  <si>
    <r>
      <t>　6. 國內廠商之報價單、發票或收據的買受人必需為「</t>
    </r>
    <r>
      <rPr>
        <b/>
        <sz val="12"/>
        <color rgb="FF0000FF"/>
        <rFont val="微軟正黑體"/>
        <family val="2"/>
        <charset val="136"/>
      </rPr>
      <t>台灣智慧駕駛股份有限公司</t>
    </r>
    <r>
      <rPr>
        <sz val="12"/>
        <color theme="1"/>
        <rFont val="微軟正黑體"/>
        <family val="2"/>
        <charset val="136"/>
      </rPr>
      <t>」，國外廠商之QUOTATION、INVOICE或RECEIPT的買受人必需為「</t>
    </r>
    <r>
      <rPr>
        <b/>
        <sz val="12"/>
        <color rgb="FF0000FF"/>
        <rFont val="微軟正黑體"/>
        <family val="2"/>
        <charset val="136"/>
      </rPr>
      <t>TURING DRIVE INC.</t>
    </r>
    <r>
      <rPr>
        <sz val="12"/>
        <color theme="1"/>
        <rFont val="微軟正黑體"/>
        <family val="2"/>
        <charset val="136"/>
      </rPr>
      <t>」。</t>
    </r>
    <phoneticPr fontId="3" type="noConversion"/>
  </si>
  <si>
    <r>
      <t>　7. 交際費請款必需寫上</t>
    </r>
    <r>
      <rPr>
        <b/>
        <sz val="12"/>
        <color rgb="FF0000FF"/>
        <rFont val="微軟正黑體"/>
        <family val="2"/>
        <charset val="136"/>
      </rPr>
      <t>宴請對象</t>
    </r>
    <r>
      <rPr>
        <sz val="12"/>
        <color theme="1"/>
        <rFont val="微軟正黑體"/>
        <family val="2"/>
        <charset val="136"/>
      </rPr>
      <t>。</t>
    </r>
    <phoneticPr fontId="3" type="noConversion"/>
  </si>
  <si>
    <r>
      <t>　8. 申請之費用如有</t>
    </r>
    <r>
      <rPr>
        <b/>
        <sz val="12"/>
        <color rgb="FF0000FF"/>
        <rFont val="微軟正黑體"/>
        <family val="2"/>
        <charset val="136"/>
      </rPr>
      <t>使用期間</t>
    </r>
    <r>
      <rPr>
        <sz val="12"/>
        <color theme="1"/>
        <rFont val="微軟正黑體"/>
        <family val="2"/>
        <charset val="136"/>
      </rPr>
      <t>（如：軟體帳號使用期間及訂閱期間…等），請在費用申請單上註明。</t>
    </r>
    <phoneticPr fontId="3" type="noConversion"/>
  </si>
  <si>
    <t>　9. 如期望付款日未明確填寫日期，將會以月結30天方式安排付款（即廠商開立發票月份的次月30號付款）。</t>
    <phoneticPr fontId="3" type="noConversion"/>
  </si>
  <si>
    <r>
      <t>　</t>
    </r>
    <r>
      <rPr>
        <b/>
        <sz val="12"/>
        <color rgb="FF0000FF"/>
        <rFont val="微軟正黑體"/>
        <family val="2"/>
        <charset val="136"/>
      </rPr>
      <t>10. 請購、採購及驗收請款流程請確實按照公司採購流程進行，勿將所有文件同時送簽。</t>
    </r>
    <phoneticPr fontId="3" type="noConversion"/>
  </si>
  <si>
    <t>序號</t>
  </si>
  <si>
    <t>員工代號(ERP)</t>
  </si>
  <si>
    <t>員工姓名</t>
  </si>
  <si>
    <t>部門</t>
  </si>
  <si>
    <t>部門代碼</t>
  </si>
  <si>
    <t>部門主管</t>
  </si>
  <si>
    <t>職稱</t>
  </si>
  <si>
    <t>核准</t>
  </si>
  <si>
    <t>付款方式</t>
  </si>
  <si>
    <t>付款條件</t>
  </si>
  <si>
    <t>請購單次序</t>
  </si>
  <si>
    <t>採購單次序</t>
    <phoneticPr fontId="3" type="noConversion"/>
  </si>
  <si>
    <t>部門代號</t>
  </si>
  <si>
    <t>大項分類</t>
  </si>
  <si>
    <t>部門/專案</t>
  </si>
  <si>
    <t>中項分類</t>
  </si>
  <si>
    <t>預算編號(*)：</t>
  </si>
  <si>
    <t>項目彙總</t>
  </si>
  <si>
    <t>115年合計</t>
    <phoneticPr fontId="3" type="noConversion"/>
  </si>
  <si>
    <t>合併欄位</t>
  </si>
  <si>
    <t>預算</t>
  </si>
  <si>
    <t>代號</t>
  </si>
  <si>
    <t>主管</t>
  </si>
  <si>
    <t>--------部門---------</t>
    <phoneticPr fontId="3" type="noConversion"/>
  </si>
  <si>
    <t>0001</t>
  </si>
  <si>
    <t>陳維隆</t>
  </si>
  <si>
    <t>董事長室</t>
  </si>
  <si>
    <t>CO</t>
  </si>
  <si>
    <t>董事長</t>
  </si>
  <si>
    <t>沈大維</t>
  </si>
  <si>
    <t>支票</t>
  </si>
  <si>
    <t>預付</t>
  </si>
  <si>
    <t>A1</t>
  </si>
  <si>
    <t>B1</t>
  </si>
  <si>
    <t>管理部</t>
  </si>
  <si>
    <t>AD</t>
  </si>
  <si>
    <t>營業費用</t>
  </si>
  <si>
    <t>人事費</t>
  </si>
  <si>
    <t>115ADSE01</t>
  </si>
  <si>
    <t>人事費(薪資、各項獎金)</t>
    <phoneticPr fontId="3" type="noConversion"/>
  </si>
  <si>
    <t>吳旭東</t>
    <phoneticPr fontId="3" type="noConversion"/>
  </si>
  <si>
    <t>-----部門-----</t>
  </si>
  <si>
    <t>0002</t>
  </si>
  <si>
    <t>總經理室</t>
  </si>
  <si>
    <t>GO</t>
  </si>
  <si>
    <t>執行長</t>
  </si>
  <si>
    <t>匯款</t>
  </si>
  <si>
    <t>當月底付款</t>
  </si>
  <si>
    <t>A2</t>
  </si>
  <si>
    <t>B2</t>
  </si>
  <si>
    <t>115ADSE02</t>
  </si>
  <si>
    <t>自動駕駛系統部</t>
    <phoneticPr fontId="3" type="noConversion"/>
  </si>
  <si>
    <t>ADS</t>
    <phoneticPr fontId="3" type="noConversion"/>
  </si>
  <si>
    <t>楊為任</t>
    <phoneticPr fontId="3" type="noConversion"/>
  </si>
  <si>
    <t>0009</t>
  </si>
  <si>
    <t>許雲茹</t>
  </si>
  <si>
    <t>行政財會</t>
    <phoneticPr fontId="3" type="noConversion"/>
  </si>
  <si>
    <t>現鈔</t>
  </si>
  <si>
    <t>月結30天</t>
  </si>
  <si>
    <t>A3</t>
  </si>
  <si>
    <t>B3</t>
  </si>
  <si>
    <t>旅費</t>
  </si>
  <si>
    <t>115ADSE03</t>
  </si>
  <si>
    <t>營業行銷部</t>
    <phoneticPr fontId="3" type="noConversion"/>
  </si>
  <si>
    <t>S&amp;M</t>
    <phoneticPr fontId="3" type="noConversion"/>
  </si>
  <si>
    <t>0017</t>
  </si>
  <si>
    <t>阮振瑋</t>
  </si>
  <si>
    <t>工程經理</t>
    <phoneticPr fontId="3" type="noConversion"/>
  </si>
  <si>
    <t>繳費</t>
  </si>
  <si>
    <t>月結60天</t>
  </si>
  <si>
    <t>A4</t>
  </si>
  <si>
    <t>B4</t>
  </si>
  <si>
    <t>115ADSE04</t>
  </si>
  <si>
    <t>0019</t>
  </si>
  <si>
    <t>呂京霖</t>
  </si>
  <si>
    <t>主任工程師</t>
  </si>
  <si>
    <t>外匯</t>
  </si>
  <si>
    <t>月結90天</t>
  </si>
  <si>
    <t>A5</t>
  </si>
  <si>
    <t>B5</t>
  </si>
  <si>
    <t>115ADSE05</t>
  </si>
  <si>
    <t>0020</t>
  </si>
  <si>
    <t>何宗璟</t>
  </si>
  <si>
    <t>工程師</t>
  </si>
  <si>
    <t>零用金</t>
    <phoneticPr fontId="3" type="noConversion"/>
  </si>
  <si>
    <t>A6</t>
  </si>
  <si>
    <t>B6</t>
  </si>
  <si>
    <t>修繕費</t>
    <phoneticPr fontId="3" type="noConversion"/>
  </si>
  <si>
    <t>115ADSE06</t>
  </si>
  <si>
    <t>資料與雲端平台部</t>
    <phoneticPr fontId="3" type="noConversion"/>
  </si>
  <si>
    <t>D&amp;C</t>
    <phoneticPr fontId="3" type="noConversion"/>
  </si>
  <si>
    <t>0023</t>
  </si>
  <si>
    <t>李嘉偉</t>
  </si>
  <si>
    <t>資深工程師</t>
    <phoneticPr fontId="3" type="noConversion"/>
  </si>
  <si>
    <t>其他</t>
    <phoneticPr fontId="3" type="noConversion"/>
  </si>
  <si>
    <t>A7</t>
  </si>
  <si>
    <t>B7</t>
  </si>
  <si>
    <t>115ADSE07</t>
  </si>
  <si>
    <t>產品部</t>
    <phoneticPr fontId="3" type="noConversion"/>
  </si>
  <si>
    <t>PD</t>
    <phoneticPr fontId="3" type="noConversion"/>
  </si>
  <si>
    <t>沈大維</t>
    <phoneticPr fontId="3" type="noConversion"/>
  </si>
  <si>
    <t>0025</t>
  </si>
  <si>
    <t>王冠傑</t>
  </si>
  <si>
    <t>A8</t>
  </si>
  <si>
    <t>B8</t>
  </si>
  <si>
    <t>保險費</t>
  </si>
  <si>
    <t>115ADSE08</t>
  </si>
  <si>
    <t>車輛開發部</t>
  </si>
  <si>
    <t>VD</t>
  </si>
  <si>
    <t>陳冠文</t>
  </si>
  <si>
    <t>0032</t>
  </si>
  <si>
    <t>車輛開發部</t>
    <phoneticPr fontId="3" type="noConversion"/>
  </si>
  <si>
    <t>VD</t>
    <phoneticPr fontId="3" type="noConversion"/>
  </si>
  <si>
    <t>陳冠文</t>
    <phoneticPr fontId="3" type="noConversion"/>
  </si>
  <si>
    <t>副總經理</t>
    <phoneticPr fontId="3" type="noConversion"/>
  </si>
  <si>
    <t>A9</t>
  </si>
  <si>
    <t>B9</t>
  </si>
  <si>
    <t>115ADSE09</t>
  </si>
  <si>
    <t>亞灣2.0:5G a lot規模化加值感育樂服務創新應用計畫</t>
  </si>
  <si>
    <t>112BD003</t>
  </si>
  <si>
    <t>劉君怡</t>
  </si>
  <si>
    <t>--------專案---------</t>
    <phoneticPr fontId="3" type="noConversion"/>
  </si>
  <si>
    <t>0046</t>
  </si>
  <si>
    <t>賴昭宇</t>
  </si>
  <si>
    <t>資深車輛開發工程師</t>
    <phoneticPr fontId="3" type="noConversion"/>
  </si>
  <si>
    <t>A10</t>
  </si>
  <si>
    <t>B10</t>
  </si>
  <si>
    <t>折舊及攤銷</t>
    <phoneticPr fontId="3" type="noConversion"/>
  </si>
  <si>
    <t>115ADSE10</t>
  </si>
  <si>
    <t>雲科大教具車案(翔和)</t>
  </si>
  <si>
    <t>113BD005</t>
  </si>
  <si>
    <t>0052</t>
  </si>
  <si>
    <t>莊育俊</t>
  </si>
  <si>
    <t>資深產品經理</t>
    <phoneticPr fontId="3" type="noConversion"/>
  </si>
  <si>
    <t>A11</t>
  </si>
  <si>
    <t>B11</t>
  </si>
  <si>
    <t>115ADSE11</t>
  </si>
  <si>
    <t>宮古島郵輪航廈至海灘一般道路接駁實驗</t>
  </si>
  <si>
    <t>114BD012</t>
  </si>
  <si>
    <t>熊可晴</t>
  </si>
  <si>
    <t>0053</t>
  </si>
  <si>
    <t>楊為任</t>
  </si>
  <si>
    <t>軟體研發副總</t>
    <phoneticPr fontId="3" type="noConversion"/>
  </si>
  <si>
    <t>A12</t>
  </si>
  <si>
    <t>B12</t>
  </si>
  <si>
    <t>115ADSE12</t>
  </si>
  <si>
    <t>臺大教具車</t>
  </si>
  <si>
    <t>114BD014</t>
  </si>
  <si>
    <t>開發費</t>
    <phoneticPr fontId="3" type="noConversion"/>
  </si>
  <si>
    <t>0054</t>
  </si>
  <si>
    <t>呂孟耿</t>
  </si>
  <si>
    <t>GO</t>
    <phoneticPr fontId="3" type="noConversion"/>
  </si>
  <si>
    <t>A13</t>
  </si>
  <si>
    <t>B13</t>
  </si>
  <si>
    <t>115ADSE13</t>
  </si>
  <si>
    <t>7STARLAKE自動駕駛巡邏車與派遣車開發</t>
  </si>
  <si>
    <t>115BD001</t>
  </si>
  <si>
    <t>0056</t>
  </si>
  <si>
    <t>莊朝淵</t>
  </si>
  <si>
    <t>資深電子電機工程師</t>
  </si>
  <si>
    <t>A14</t>
  </si>
  <si>
    <t>B14</t>
  </si>
  <si>
    <t>115ADSE14</t>
  </si>
  <si>
    <t>NSC: remote support</t>
  </si>
  <si>
    <t>115BD002</t>
  </si>
  <si>
    <t>交通費</t>
  </si>
  <si>
    <t>0060</t>
  </si>
  <si>
    <t>張晏銘</t>
  </si>
  <si>
    <t>產品經理</t>
  </si>
  <si>
    <t>115ADSE15</t>
  </si>
  <si>
    <t>臺灣桃園國際機場第三航站區旅客運輸系統工程-建置車輛監控管理系統</t>
  </si>
  <si>
    <t>115BD004</t>
  </si>
  <si>
    <t>設備</t>
  </si>
  <si>
    <t>0062</t>
    <phoneticPr fontId="3" type="noConversion"/>
  </si>
  <si>
    <t>李俊廷</t>
    <phoneticPr fontId="3" type="noConversion"/>
  </si>
  <si>
    <t>工程師</t>
    <phoneticPr fontId="3" type="noConversion"/>
  </si>
  <si>
    <t>115ADSE16</t>
  </si>
  <si>
    <t>T0.9內部自研案</t>
  </si>
  <si>
    <t>114GO001</t>
  </si>
  <si>
    <t>李明潔</t>
  </si>
  <si>
    <t>雜項購置</t>
    <phoneticPr fontId="3" type="noConversion"/>
  </si>
  <si>
    <t>0065</t>
  </si>
  <si>
    <t>協理</t>
    <phoneticPr fontId="3" type="noConversion"/>
  </si>
  <si>
    <t>115ADSE17</t>
  </si>
  <si>
    <t>Voyager T4產品開發案</t>
  </si>
  <si>
    <t>114GO002</t>
  </si>
  <si>
    <t>退休金</t>
    <phoneticPr fontId="3" type="noConversion"/>
  </si>
  <si>
    <t>0066</t>
  </si>
  <si>
    <t>劉又誠</t>
    <phoneticPr fontId="3" type="noConversion"/>
  </si>
  <si>
    <t>運動規劃演算法工程師</t>
    <phoneticPr fontId="3" type="noConversion"/>
  </si>
  <si>
    <t>115ADSE18</t>
  </si>
  <si>
    <t>Voyager T14 產品開發案</t>
  </si>
  <si>
    <t>115GO001</t>
  </si>
  <si>
    <t>文具用品</t>
    <phoneticPr fontId="3" type="noConversion"/>
  </si>
  <si>
    <t>0067</t>
  </si>
  <si>
    <t>蔡廷法</t>
    <phoneticPr fontId="3" type="noConversion"/>
  </si>
  <si>
    <t>前端工程師</t>
    <phoneticPr fontId="3" type="noConversion"/>
  </si>
  <si>
    <t>115ADSE19</t>
  </si>
  <si>
    <t>水電費</t>
    <phoneticPr fontId="3" type="noConversion"/>
  </si>
  <si>
    <t>0069</t>
  </si>
  <si>
    <t>陳侑良</t>
    <phoneticPr fontId="3" type="noConversion"/>
  </si>
  <si>
    <t>資深定位融合演算法工程師</t>
    <phoneticPr fontId="3" type="noConversion"/>
  </si>
  <si>
    <t>115ADSE20</t>
  </si>
  <si>
    <t>捐贈</t>
    <phoneticPr fontId="3" type="noConversion"/>
  </si>
  <si>
    <t>0070</t>
  </si>
  <si>
    <t>劉君怡</t>
    <phoneticPr fontId="3" type="noConversion"/>
  </si>
  <si>
    <t>資深市場開發經理</t>
    <phoneticPr fontId="3" type="noConversion"/>
  </si>
  <si>
    <t>115ADSE21</t>
  </si>
  <si>
    <t>銀行手續費</t>
    <phoneticPr fontId="3" type="noConversion"/>
  </si>
  <si>
    <t>9974</t>
    <phoneticPr fontId="3" type="noConversion"/>
  </si>
  <si>
    <t>陳哲偉</t>
    <phoneticPr fontId="3" type="noConversion"/>
  </si>
  <si>
    <t>數據與驗證工程師</t>
    <phoneticPr fontId="3" type="noConversion"/>
  </si>
  <si>
    <t>115ADSE22</t>
  </si>
  <si>
    <t>其他費用</t>
    <phoneticPr fontId="3" type="noConversion"/>
  </si>
  <si>
    <t>0071</t>
    <phoneticPr fontId="3" type="noConversion"/>
  </si>
  <si>
    <t>羅曉惠</t>
    <phoneticPr fontId="3" type="noConversion"/>
  </si>
  <si>
    <t>主辦財務會計</t>
    <phoneticPr fontId="3" type="noConversion"/>
  </si>
  <si>
    <t>115ADSE99</t>
  </si>
  <si>
    <t>非費用類項目</t>
    <phoneticPr fontId="3" type="noConversion"/>
  </si>
  <si>
    <t>0074</t>
    <phoneticPr fontId="3" type="noConversion"/>
  </si>
  <si>
    <t>卓欣葦</t>
    <phoneticPr fontId="3" type="noConversion"/>
  </si>
  <si>
    <t>資深人資專員</t>
    <phoneticPr fontId="3" type="noConversion"/>
  </si>
  <si>
    <t>115ADOTH</t>
  </si>
  <si>
    <t>-----專案-----</t>
  </si>
  <si>
    <t>0075</t>
  </si>
  <si>
    <t>汪怡伶</t>
    <phoneticPr fontId="3" type="noConversion"/>
  </si>
  <si>
    <t>行政總務專員</t>
    <phoneticPr fontId="3" type="noConversion"/>
  </si>
  <si>
    <t>115ADSSE01</t>
  </si>
  <si>
    <t>*臨時人力</t>
    <phoneticPr fontId="3" type="noConversion"/>
  </si>
  <si>
    <t>0076</t>
    <phoneticPr fontId="3" type="noConversion"/>
  </si>
  <si>
    <t>陳奕儒</t>
    <phoneticPr fontId="3" type="noConversion"/>
  </si>
  <si>
    <t>規劃與控制演算法工程師</t>
    <phoneticPr fontId="3" type="noConversion"/>
  </si>
  <si>
    <t>115ADSSE02</t>
  </si>
  <si>
    <t>*材料</t>
    <phoneticPr fontId="3" type="noConversion"/>
  </si>
  <si>
    <t>0077</t>
  </si>
  <si>
    <t>陳劭穎</t>
    <phoneticPr fontId="3" type="noConversion"/>
  </si>
  <si>
    <t>感知演算法工程師</t>
    <phoneticPr fontId="3" type="noConversion"/>
  </si>
  <si>
    <t>115ADSSE03</t>
  </si>
  <si>
    <t>*設備</t>
    <phoneticPr fontId="3" type="noConversion"/>
  </si>
  <si>
    <t>0078</t>
  </si>
  <si>
    <t>林琦淵</t>
    <phoneticPr fontId="3" type="noConversion"/>
  </si>
  <si>
    <t>控制演算法工程師</t>
    <phoneticPr fontId="3" type="noConversion"/>
  </si>
  <si>
    <t>115ADSSE04</t>
  </si>
  <si>
    <t>*雜項購置</t>
    <phoneticPr fontId="3" type="noConversion"/>
  </si>
  <si>
    <t>0079</t>
  </si>
  <si>
    <t>張芷瑀</t>
    <phoneticPr fontId="3" type="noConversion"/>
  </si>
  <si>
    <t>軟體工程師</t>
    <phoneticPr fontId="3" type="noConversion"/>
  </si>
  <si>
    <t>115ADSSE05</t>
  </si>
  <si>
    <t>*委外</t>
    <phoneticPr fontId="3" type="noConversion"/>
  </si>
  <si>
    <t>0080</t>
  </si>
  <si>
    <t>陳映汝</t>
    <phoneticPr fontId="3" type="noConversion"/>
  </si>
  <si>
    <t>總經理室</t>
    <phoneticPr fontId="3" type="noConversion"/>
  </si>
  <si>
    <t>UI/UX設計師</t>
    <phoneticPr fontId="3" type="noConversion"/>
  </si>
  <si>
    <t>115ADSSE06</t>
  </si>
  <si>
    <t>*差旅</t>
    <phoneticPr fontId="3" type="noConversion"/>
  </si>
  <si>
    <t>0081</t>
  </si>
  <si>
    <t>115ADSSE07</t>
  </si>
  <si>
    <t>*運費</t>
    <phoneticPr fontId="3" type="noConversion"/>
  </si>
  <si>
    <t>0082</t>
    <phoneticPr fontId="3" type="noConversion"/>
  </si>
  <si>
    <t>陳禮佑</t>
    <phoneticPr fontId="3" type="noConversion"/>
  </si>
  <si>
    <t>後端工程師</t>
    <phoneticPr fontId="3" type="noConversion"/>
  </si>
  <si>
    <t>115ADSSE08</t>
  </si>
  <si>
    <t>*雜費</t>
    <phoneticPr fontId="3" type="noConversion"/>
  </si>
  <si>
    <t>0083</t>
    <phoneticPr fontId="3" type="noConversion"/>
  </si>
  <si>
    <t>林韋志</t>
    <phoneticPr fontId="3" type="noConversion"/>
  </si>
  <si>
    <t>軟韌體工程師</t>
    <phoneticPr fontId="3" type="noConversion"/>
  </si>
  <si>
    <t>115ADSSE09</t>
  </si>
  <si>
    <t>0084</t>
  </si>
  <si>
    <t>詹家榆</t>
    <phoneticPr fontId="3" type="noConversion"/>
  </si>
  <si>
    <t>營運顧問</t>
  </si>
  <si>
    <t>115ADSSE10</t>
  </si>
  <si>
    <t>0085</t>
  </si>
  <si>
    <t>王婷筠</t>
  </si>
  <si>
    <t>資深行銷經理</t>
  </si>
  <si>
    <t>115ADSSE11</t>
  </si>
  <si>
    <t>0088</t>
    <phoneticPr fontId="3" type="noConversion"/>
  </si>
  <si>
    <t>黃奕凱</t>
    <phoneticPr fontId="3" type="noConversion"/>
  </si>
  <si>
    <t>115ADSSE12</t>
  </si>
  <si>
    <t>0089</t>
  </si>
  <si>
    <t>楊庭瑋</t>
    <phoneticPr fontId="3" type="noConversion"/>
  </si>
  <si>
    <t>副理</t>
    <phoneticPr fontId="3" type="noConversion"/>
  </si>
  <si>
    <t>115ADSSE13</t>
  </si>
  <si>
    <t>0090</t>
  </si>
  <si>
    <t>顏榆欣</t>
    <phoneticPr fontId="3" type="noConversion"/>
  </si>
  <si>
    <t>專案經理</t>
    <phoneticPr fontId="3" type="noConversion"/>
  </si>
  <si>
    <t>115ADSSE14</t>
  </si>
  <si>
    <t>115ADSSE15</t>
  </si>
  <si>
    <t>115ADSSE16</t>
  </si>
  <si>
    <t>115ADSSE17</t>
  </si>
  <si>
    <t>115ADSSE18</t>
  </si>
  <si>
    <t>115ADSSE19</t>
  </si>
  <si>
    <t>115ADSSE20</t>
  </si>
  <si>
    <t>115ADSSE21</t>
  </si>
  <si>
    <t>115ADSSE22</t>
    <phoneticPr fontId="3" type="noConversion"/>
  </si>
  <si>
    <t>115ADSSE99</t>
  </si>
  <si>
    <t>115S&amp;MSE01</t>
  </si>
  <si>
    <t>115S&amp;MSE02</t>
  </si>
  <si>
    <t>115S&amp;MSE03</t>
  </si>
  <si>
    <t>115S&amp;MSE04</t>
  </si>
  <si>
    <t>115S&amp;MSE05</t>
  </si>
  <si>
    <t>115S&amp;MSE06</t>
  </si>
  <si>
    <t>115S&amp;MSE07</t>
  </si>
  <si>
    <t>115S&amp;MSE08</t>
  </si>
  <si>
    <t>115S&amp;MSE09</t>
  </si>
  <si>
    <t>115S&amp;MSE10</t>
  </si>
  <si>
    <t>115S&amp;MSE11</t>
  </si>
  <si>
    <t>115S&amp;MSE12</t>
  </si>
  <si>
    <t>115S&amp;MSE13</t>
  </si>
  <si>
    <t>115S&amp;MSE14</t>
  </si>
  <si>
    <t>115S&amp;MSE15</t>
  </si>
  <si>
    <t>115S&amp;MSE16</t>
  </si>
  <si>
    <t>115S&amp;MSE17</t>
  </si>
  <si>
    <t>115S&amp;MSE18</t>
  </si>
  <si>
    <t>115S&amp;MSE19</t>
  </si>
  <si>
    <t>115S&amp;MSE20</t>
  </si>
  <si>
    <t>115S&amp;MSE21</t>
  </si>
  <si>
    <t>115S&amp;MSE22</t>
    <phoneticPr fontId="3" type="noConversion"/>
  </si>
  <si>
    <t>115S&amp;MSE99</t>
    <phoneticPr fontId="3" type="noConversion"/>
  </si>
  <si>
    <t>115COSE01</t>
  </si>
  <si>
    <t>115COSE02</t>
  </si>
  <si>
    <t>115COSE03</t>
  </si>
  <si>
    <t>115COSE04</t>
  </si>
  <si>
    <t>115COSE05</t>
  </si>
  <si>
    <t>115COSE06</t>
  </si>
  <si>
    <t>115COSE07</t>
  </si>
  <si>
    <t>115COSE08</t>
  </si>
  <si>
    <t>115COSE09</t>
  </si>
  <si>
    <t>115COSE10</t>
  </si>
  <si>
    <t>115COSE11</t>
  </si>
  <si>
    <t>115COSE12</t>
  </si>
  <si>
    <t>115COSE13</t>
  </si>
  <si>
    <t>115COSE14</t>
  </si>
  <si>
    <t>115COSE15</t>
  </si>
  <si>
    <t>115COSE16</t>
  </si>
  <si>
    <t>115COSE17</t>
  </si>
  <si>
    <t>115COSE18</t>
  </si>
  <si>
    <t>115COSE19</t>
  </si>
  <si>
    <t>115COSE20</t>
  </si>
  <si>
    <t>115COSE21</t>
  </si>
  <si>
    <t>115COSE22</t>
    <phoneticPr fontId="3" type="noConversion"/>
  </si>
  <si>
    <t>115COSE99</t>
  </si>
  <si>
    <t>115GOSE01</t>
  </si>
  <si>
    <t>115GOSE02</t>
  </si>
  <si>
    <t>115GOSE03</t>
  </si>
  <si>
    <t>115GOSE04</t>
  </si>
  <si>
    <t>115GOSE05</t>
  </si>
  <si>
    <t>115GOSE06</t>
  </si>
  <si>
    <t>115GOSE07</t>
  </si>
  <si>
    <t>115GOSE08</t>
  </si>
  <si>
    <t>115GOSE09</t>
  </si>
  <si>
    <t>115GOSE10</t>
  </si>
  <si>
    <t>115GOSE11</t>
  </si>
  <si>
    <t>115GOSE12</t>
  </si>
  <si>
    <t>115GOSE13</t>
  </si>
  <si>
    <t>115GOSE14</t>
  </si>
  <si>
    <t>115GOSE15</t>
  </si>
  <si>
    <t>115GOSE16</t>
  </si>
  <si>
    <t>115GOSE17</t>
  </si>
  <si>
    <t>115GOSE18</t>
  </si>
  <si>
    <t>115GOSE19</t>
  </si>
  <si>
    <t>115GOSE20</t>
  </si>
  <si>
    <t>115GOSE21</t>
  </si>
  <si>
    <t>115GOSE22</t>
    <phoneticPr fontId="3" type="noConversion"/>
  </si>
  <si>
    <t>115GOSE99</t>
  </si>
  <si>
    <t>115D&amp;CSE01</t>
  </si>
  <si>
    <t>115D&amp;CSE02</t>
  </si>
  <si>
    <t>115D&amp;CSE03</t>
  </si>
  <si>
    <t>115D&amp;CSE04</t>
  </si>
  <si>
    <t>115D&amp;CSE05</t>
  </si>
  <si>
    <t>115D&amp;CSE06</t>
  </si>
  <si>
    <t>115D&amp;CSE07</t>
  </si>
  <si>
    <t>115D&amp;CSE08</t>
  </si>
  <si>
    <t>115D&amp;CSE09</t>
  </si>
  <si>
    <t>115D&amp;CSE10</t>
  </si>
  <si>
    <t>115D&amp;CSE11</t>
  </si>
  <si>
    <t>115D&amp;CSE12</t>
  </si>
  <si>
    <t>115D&amp;CSE13</t>
  </si>
  <si>
    <t>115D&amp;CSE14</t>
  </si>
  <si>
    <t>115D&amp;CSE15</t>
  </si>
  <si>
    <t>115D&amp;CSE16</t>
  </si>
  <si>
    <t>115D&amp;CSE17</t>
  </si>
  <si>
    <t>115D&amp;CSE18</t>
  </si>
  <si>
    <t>115D&amp;CSE19</t>
  </si>
  <si>
    <t>115D&amp;CSE20</t>
  </si>
  <si>
    <t>115D&amp;CSE21</t>
  </si>
  <si>
    <t>115D&amp;CSE22</t>
    <phoneticPr fontId="3" type="noConversion"/>
  </si>
  <si>
    <t>115D&amp;CSE99</t>
  </si>
  <si>
    <t>115PDSE01</t>
  </si>
  <si>
    <t>115PDSE02</t>
  </si>
  <si>
    <t>115PDSE03</t>
  </si>
  <si>
    <t>115PDSE04</t>
  </si>
  <si>
    <t>115PDSE05</t>
  </si>
  <si>
    <t>115PDSE06</t>
  </si>
  <si>
    <t>115PDSE07</t>
  </si>
  <si>
    <t>115PDSE08</t>
  </si>
  <si>
    <t>115PDSE09</t>
  </si>
  <si>
    <t>115PDSE10</t>
  </si>
  <si>
    <t>115PDSE11</t>
  </si>
  <si>
    <t>115PDSE12</t>
  </si>
  <si>
    <t>115PDSE13</t>
  </si>
  <si>
    <t>115PDSE14</t>
  </si>
  <si>
    <t>115PDSE15</t>
  </si>
  <si>
    <t>115PDSE16</t>
  </si>
  <si>
    <t>115PDSE17</t>
  </si>
  <si>
    <t>115PDSE18</t>
  </si>
  <si>
    <t>115PDSE19</t>
  </si>
  <si>
    <t>115PDSE20</t>
  </si>
  <si>
    <t>115PDSE21</t>
  </si>
  <si>
    <t>115PDSE22</t>
    <phoneticPr fontId="3" type="noConversion"/>
  </si>
  <si>
    <t>115PDSE99</t>
  </si>
  <si>
    <t>115VDSE01</t>
  </si>
  <si>
    <t>115VDSE02</t>
  </si>
  <si>
    <t>115VDSE03</t>
  </si>
  <si>
    <t>115VDSE04</t>
  </si>
  <si>
    <t>115VDSE05</t>
  </si>
  <si>
    <t>115VDSE06</t>
  </si>
  <si>
    <t>115VDSE07</t>
  </si>
  <si>
    <t>115VDSE08</t>
  </si>
  <si>
    <t>115VDSE09</t>
  </si>
  <si>
    <t>115VDSE10</t>
  </si>
  <si>
    <t>115VDSE11</t>
  </si>
  <si>
    <t>115VDSE12</t>
  </si>
  <si>
    <t>115VDSE13</t>
  </si>
  <si>
    <t>115VDSE14</t>
  </si>
  <si>
    <t>115VDSE15</t>
  </si>
  <si>
    <t>115VDSE16</t>
  </si>
  <si>
    <t>115VDSE17</t>
  </si>
  <si>
    <t>115VDSE18</t>
  </si>
  <si>
    <t>115VDSE19</t>
  </si>
  <si>
    <t>115VDSE20</t>
  </si>
  <si>
    <t>115VDSE21</t>
  </si>
  <si>
    <t>115VDSE22</t>
    <phoneticPr fontId="3" type="noConversion"/>
  </si>
  <si>
    <t>115VDSE99</t>
  </si>
  <si>
    <t>亞灣2.0：5G AloT規模化加值體感育樂服務創新應用</t>
  </si>
  <si>
    <t>112BD003</t>
    <phoneticPr fontId="3" type="noConversion"/>
  </si>
  <si>
    <t>S&amp;M營業行銷部</t>
  </si>
  <si>
    <t>專案營收</t>
  </si>
  <si>
    <t>112BD003RP01</t>
  </si>
  <si>
    <t>*專案營收</t>
    <phoneticPr fontId="3" type="noConversion"/>
  </si>
  <si>
    <t>112BD003亞灣2.0：5G AloT規模化加值體感育樂服務創新應用*專案營收</t>
  </si>
  <si>
    <t>臨時人力</t>
  </si>
  <si>
    <t>112BD003SE01</t>
  </si>
  <si>
    <t>112BD003亞灣2.0：5G AloT規模化加值體感育樂服務創新應用*臨時人力</t>
  </si>
  <si>
    <t>材料</t>
  </si>
  <si>
    <t>112BD003SE91</t>
  </si>
  <si>
    <t>112BD003亞灣2.0：5G AloT規模化加值體感育樂服務創新應用*材料</t>
  </si>
  <si>
    <t>112BD003SE16</t>
  </si>
  <si>
    <t>112BD003亞灣2.0：5G AloT規模化加值體感育樂服務創新應用*設備</t>
  </si>
  <si>
    <t>雜項購置</t>
  </si>
  <si>
    <t>112BD003SE17</t>
  </si>
  <si>
    <t>112BD003亞灣2.0：5G AloT規模化加值體感育樂服務創新應用*雜項購置</t>
  </si>
  <si>
    <t>委外</t>
  </si>
  <si>
    <t>112BD003SE14</t>
  </si>
  <si>
    <t>112BD003亞灣2.0：5G AloT規模化加值體感育樂服務創新應用*委外</t>
  </si>
  <si>
    <t>差旅</t>
  </si>
  <si>
    <t>112BD003SE03</t>
  </si>
  <si>
    <t>*旅費</t>
    <phoneticPr fontId="3" type="noConversion"/>
  </si>
  <si>
    <t>112BD003亞灣2.0：5G AloT規模化加值體感育樂服務創新應用*旅費</t>
  </si>
  <si>
    <t>112BD003SE04</t>
  </si>
  <si>
    <t>112BD003亞灣2.0：5G AloT規模化加值體感育樂服務創新應用*運費</t>
  </si>
  <si>
    <t>雜費</t>
  </si>
  <si>
    <t>112BD003SE99</t>
  </si>
  <si>
    <t>112BD003亞灣2.0：5G AloT規模化加值體感育樂服務創新應用*雜費</t>
  </si>
  <si>
    <t>雲科大教具車案</t>
    <phoneticPr fontId="3" type="noConversion"/>
  </si>
  <si>
    <t>113BD005</t>
    <phoneticPr fontId="3" type="noConversion"/>
  </si>
  <si>
    <t>113BD005RP01</t>
  </si>
  <si>
    <t>113BD005雲科大教具車案*專案營收</t>
  </si>
  <si>
    <t>113BD005SE01</t>
  </si>
  <si>
    <t>113BD005雲科大教具車案*臨時人力</t>
  </si>
  <si>
    <t>113BD005SE91</t>
  </si>
  <si>
    <t>113BD005雲科大教具車案*材料</t>
  </si>
  <si>
    <t>113BD005SE16</t>
  </si>
  <si>
    <t>113BD005雲科大教具車案*設備</t>
  </si>
  <si>
    <t>113BD005SE17</t>
  </si>
  <si>
    <t>113BD005雲科大教具車案*雜項購置</t>
  </si>
  <si>
    <t>113BD005SE14</t>
  </si>
  <si>
    <t>113BD005雲科大教具車案*委外</t>
  </si>
  <si>
    <t>113BD005SE03</t>
  </si>
  <si>
    <t>113BD005雲科大教具車案*旅費</t>
  </si>
  <si>
    <t>113BD005SE04</t>
  </si>
  <si>
    <t>113BD005雲科大教具車案*運費</t>
  </si>
  <si>
    <t>113BD005SE99</t>
  </si>
  <si>
    <t>113BD005雲科大教具車案*雜費</t>
  </si>
  <si>
    <t>宮古島郵輪航廈至海灘一般道路接駁實驗</t>
    <phoneticPr fontId="3" type="noConversion"/>
  </si>
  <si>
    <t>114BD012RP01</t>
  </si>
  <si>
    <t>114BD012宮古島郵輪航廈至海灘一般道路接駁實驗*專案營收</t>
  </si>
  <si>
    <t>114BD012SE01</t>
  </si>
  <si>
    <t>114BD012宮古島郵輪航廈至海灘一般道路接駁實驗*臨時人力</t>
  </si>
  <si>
    <t>114BD012SE91</t>
  </si>
  <si>
    <t>114BD012宮古島郵輪航廈至海灘一般道路接駁實驗*材料</t>
  </si>
  <si>
    <t>114BD012SE16</t>
  </si>
  <si>
    <t>114BD012宮古島郵輪航廈至海灘一般道路接駁實驗*設備</t>
  </si>
  <si>
    <t>114BD012SE17</t>
  </si>
  <si>
    <t>114BD012宮古島郵輪航廈至海灘一般道路接駁實驗*雜項購置</t>
  </si>
  <si>
    <t>114BD012SE14</t>
  </si>
  <si>
    <t>114BD012宮古島郵輪航廈至海灘一般道路接駁實驗*委外</t>
  </si>
  <si>
    <t>114BD012SE03</t>
  </si>
  <si>
    <t>114BD012宮古島郵輪航廈至海灘一般道路接駁實驗*旅費</t>
  </si>
  <si>
    <t>114BD012SE04</t>
  </si>
  <si>
    <t>114BD012宮古島郵輪航廈至海灘一般道路接駁實驗*運費</t>
  </si>
  <si>
    <t>114BD012SE99</t>
  </si>
  <si>
    <t>114BD012宮古島郵輪航廈至海灘一般道路接駁實驗*雜費</t>
  </si>
  <si>
    <t>臺大教具車</t>
    <phoneticPr fontId="3" type="noConversion"/>
  </si>
  <si>
    <t>114BD014</t>
    <phoneticPr fontId="3" type="noConversion"/>
  </si>
  <si>
    <t>114BD014RP01</t>
  </si>
  <si>
    <t>114BD014臺大教具車*專案營收</t>
  </si>
  <si>
    <t>114BD014SE01</t>
  </si>
  <si>
    <t>114BD014臺大教具車*臨時人力</t>
  </si>
  <si>
    <t>114BD014SE91</t>
  </si>
  <si>
    <t>114BD014臺大教具車*材料</t>
  </si>
  <si>
    <t>114BD014SE16</t>
  </si>
  <si>
    <t>114BD014臺大教具車*設備</t>
  </si>
  <si>
    <t>114BD014SE17</t>
  </si>
  <si>
    <t>114BD014臺大教具車*雜項購置</t>
  </si>
  <si>
    <t>114BD014SE14</t>
  </si>
  <si>
    <t>114BD014臺大教具車*委外</t>
  </si>
  <si>
    <t>114BD014SE03</t>
  </si>
  <si>
    <t>114BD014臺大教具車*旅費</t>
  </si>
  <si>
    <t>114BD014SE04</t>
  </si>
  <si>
    <t>114BD014臺大教具車*運費</t>
  </si>
  <si>
    <t>114BD014SE99</t>
  </si>
  <si>
    <t>114BD014臺大教具車*雜費</t>
  </si>
  <si>
    <t>7STARLAKE</t>
    <phoneticPr fontId="3" type="noConversion"/>
  </si>
  <si>
    <t>115BD001</t>
    <phoneticPr fontId="3" type="noConversion"/>
  </si>
  <si>
    <t>115BD001RP01</t>
  </si>
  <si>
    <t>115BD0017STARLAKE*專案營收</t>
  </si>
  <si>
    <t>115BD001SE01</t>
  </si>
  <si>
    <t>115BD0017STARLAKE*臨時人力</t>
  </si>
  <si>
    <t>115BD001SE91</t>
  </si>
  <si>
    <t>115BD0017STARLAKE*材料</t>
  </si>
  <si>
    <t>115BD001SE16</t>
  </si>
  <si>
    <t>115BD0017STARLAKE*設備</t>
  </si>
  <si>
    <t>115BD001SE17</t>
  </si>
  <si>
    <t>115BD0017STARLAKE*雜項購置</t>
  </si>
  <si>
    <t>115BD001SE14</t>
  </si>
  <si>
    <t>115BD0017STARLAKE*委外</t>
  </si>
  <si>
    <t>115BD001SE03</t>
  </si>
  <si>
    <t>115BD0017STARLAKE*旅費</t>
  </si>
  <si>
    <t>115BD001SE04</t>
  </si>
  <si>
    <t>115BD0017STARLAKE*運費</t>
  </si>
  <si>
    <t>115BD001SE99</t>
  </si>
  <si>
    <t>115BD0017STARLAKE*雜費</t>
  </si>
  <si>
    <t>NSC: remote support</t>
    <phoneticPr fontId="3" type="noConversion"/>
  </si>
  <si>
    <t>115BD002</t>
    <phoneticPr fontId="3" type="noConversion"/>
  </si>
  <si>
    <t>115BD002RP01</t>
  </si>
  <si>
    <t>115BD002SE01</t>
  </si>
  <si>
    <t>115BD002SE91</t>
  </si>
  <si>
    <t>115BD002SE16</t>
  </si>
  <si>
    <t>115BD002SE17</t>
  </si>
  <si>
    <t>115BD002SE14</t>
  </si>
  <si>
    <t>115BD002SE03</t>
  </si>
  <si>
    <t>115BD002SE04</t>
  </si>
  <si>
    <t>115BD002SE99</t>
  </si>
  <si>
    <t>臺灣桃園國際機場第三航站區旅客運輸系統工程-建置車輛監控管理系統</t>
    <phoneticPr fontId="3" type="noConversion"/>
  </si>
  <si>
    <t>115BD004</t>
    <phoneticPr fontId="3" type="noConversion"/>
  </si>
  <si>
    <t>115BD004RP01</t>
  </si>
  <si>
    <t>115BD004SE01</t>
  </si>
  <si>
    <t>115BD004SE91</t>
  </si>
  <si>
    <t>115BD004SE16</t>
  </si>
  <si>
    <t>115BD004SE17</t>
  </si>
  <si>
    <t>115BD004SE14</t>
  </si>
  <si>
    <t>115BD004SE03</t>
  </si>
  <si>
    <t>115BD004SE04</t>
  </si>
  <si>
    <t>115BD004SE99</t>
  </si>
  <si>
    <t>T0.9內部自研案</t>
    <phoneticPr fontId="3" type="noConversion"/>
  </si>
  <si>
    <t>114GO001</t>
    <phoneticPr fontId="3" type="noConversion"/>
  </si>
  <si>
    <t>PD產品部</t>
  </si>
  <si>
    <t>114GO001RP01</t>
  </si>
  <si>
    <t>114GO001T0.9內部自研案*專案營收</t>
  </si>
  <si>
    <t>114GO001SE01</t>
  </si>
  <si>
    <t>114GO001T0.9內部自研案*臨時人力</t>
  </si>
  <si>
    <t>114GO001SE91</t>
  </si>
  <si>
    <t>114GO001T0.9內部自研案*材料</t>
  </si>
  <si>
    <t>114GO001SE16</t>
  </si>
  <si>
    <t>114GO001T0.9內部自研案*設備</t>
  </si>
  <si>
    <t>114GO001SE17</t>
  </si>
  <si>
    <t>114GO001T0.9內部自研案*雜項購置</t>
  </si>
  <si>
    <t>114GO001SE14</t>
  </si>
  <si>
    <t>114GO001T0.9內部自研案*委外</t>
  </si>
  <si>
    <t>114GO001SE03</t>
  </si>
  <si>
    <t>114GO001T0.9內部自研案*旅費</t>
  </si>
  <si>
    <t>114GO001SE04</t>
  </si>
  <si>
    <t>114GO001T0.9內部自研案*運費</t>
  </si>
  <si>
    <t>114GO001SE99</t>
  </si>
  <si>
    <t>114GO001T0.9內部自研案*雜費</t>
  </si>
  <si>
    <t>Voyager T4產品開發案</t>
    <phoneticPr fontId="3" type="noConversion"/>
  </si>
  <si>
    <t>114GO002RP01</t>
  </si>
  <si>
    <t>114GO002Voyager T4產品開發案*專案營收</t>
  </si>
  <si>
    <t>114GO002SE01</t>
  </si>
  <si>
    <t>114GO002Voyager T4產品開發案*臨時人力</t>
  </si>
  <si>
    <t>114GO002SE91</t>
  </si>
  <si>
    <t>114GO002Voyager T4產品開發案*材料</t>
  </si>
  <si>
    <t>114GO002SE16</t>
  </si>
  <si>
    <t>114GO002Voyager T4產品開發案*設備</t>
  </si>
  <si>
    <t>114GO002SE17</t>
  </si>
  <si>
    <t>114GO002Voyager T4產品開發案*雜項購置</t>
  </si>
  <si>
    <t>114GO002SE14</t>
  </si>
  <si>
    <t>114GO002Voyager T4產品開發案*委外</t>
  </si>
  <si>
    <t>114GO002SE03</t>
  </si>
  <si>
    <t>114GO002Voyager T4產品開發案*旅費</t>
  </si>
  <si>
    <t>114GO002SE04</t>
  </si>
  <si>
    <t>114GO002Voyager T4產品開發案*運費</t>
  </si>
  <si>
    <t>114GO002SE99</t>
  </si>
  <si>
    <t>114GO002Voyager T4產品開發案*雜費</t>
  </si>
  <si>
    <t>Voyager T14 產品開發案</t>
    <phoneticPr fontId="3" type="noConversion"/>
  </si>
  <si>
    <t>115GO001</t>
    <phoneticPr fontId="3" type="noConversion"/>
  </si>
  <si>
    <t>115GO001RP01</t>
  </si>
  <si>
    <t>115GO001Voyager T14 產品開發案*專案營收</t>
  </si>
  <si>
    <t>115GO001SE01</t>
  </si>
  <si>
    <t>115GO001Voyager T14 產品開發案*臨時人力</t>
  </si>
  <si>
    <t>115GO001SE91</t>
  </si>
  <si>
    <t>115GO001Voyager T14 產品開發案*材料</t>
  </si>
  <si>
    <t>115GO001SE16</t>
  </si>
  <si>
    <t>115GO001Voyager T14 產品開發案*設備</t>
  </si>
  <si>
    <t>115GO001SE17</t>
  </si>
  <si>
    <t>115GO001Voyager T14 產品開發案*雜項購置</t>
  </si>
  <si>
    <t>115GO001SE14</t>
  </si>
  <si>
    <t>115GO001Voyager T14 產品開發案*委外</t>
  </si>
  <si>
    <t>115GO001SE03</t>
  </si>
  <si>
    <t>115GO001Voyager T14 產品開發案*旅費</t>
  </si>
  <si>
    <t>115GO001SE04</t>
  </si>
  <si>
    <t>115GO001Voyager T14 產品開發案*運費</t>
  </si>
  <si>
    <t>115GO001SE99</t>
  </si>
  <si>
    <t>115GO001Voyager T14 產品開發案*雜費</t>
  </si>
  <si>
    <t>台灣智慧駕駛股份有限公司</t>
    <phoneticPr fontId="5" type="noConversion"/>
  </si>
  <si>
    <t>請購申請單</t>
    <phoneticPr fontId="5" type="noConversion"/>
  </si>
  <si>
    <t>請購日期：</t>
    <phoneticPr fontId="5" type="noConversion"/>
  </si>
  <si>
    <t>申請單位：</t>
    <phoneticPr fontId="3" type="noConversion"/>
  </si>
  <si>
    <r>
      <t>請購單號</t>
    </r>
    <r>
      <rPr>
        <b/>
        <sz val="8"/>
        <rFont val="微軟正黑體"/>
        <family val="2"/>
        <charset val="136"/>
      </rPr>
      <t>(註1)</t>
    </r>
    <r>
      <rPr>
        <b/>
        <sz val="12"/>
        <rFont val="微軟正黑體"/>
        <family val="2"/>
        <charset val="136"/>
      </rPr>
      <t>：</t>
    </r>
    <phoneticPr fontId="5" type="noConversion"/>
  </si>
  <si>
    <t>CP115040669</t>
  </si>
  <si>
    <t>申請人員工號：</t>
    <phoneticPr fontId="3" type="noConversion"/>
  </si>
  <si>
    <t>請選擇</t>
    <phoneticPr fontId="3" type="noConversion"/>
  </si>
  <si>
    <t>預計需求天數：</t>
    <phoneticPr fontId="5" type="noConversion"/>
  </si>
  <si>
    <t>表單內的雙線外框儲存格為填寫欄位</t>
    <phoneticPr fontId="3" type="noConversion"/>
  </si>
  <si>
    <t>是，請提供採購選手清單</t>
  </si>
  <si>
    <t>否</t>
    <phoneticPr fontId="3" type="noConversion"/>
  </si>
  <si>
    <t>項
次</t>
    <phoneticPr fontId="5" type="noConversion"/>
  </si>
  <si>
    <t>預算來源</t>
    <phoneticPr fontId="3" type="noConversion"/>
  </si>
  <si>
    <t>預算來源代號</t>
    <phoneticPr fontId="3" type="noConversion"/>
  </si>
  <si>
    <t>項目</t>
    <phoneticPr fontId="3" type="noConversion"/>
  </si>
  <si>
    <t>預算編號</t>
    <phoneticPr fontId="5" type="noConversion"/>
  </si>
  <si>
    <t>說明
(目標規格/服務內容)</t>
    <phoneticPr fontId="3" type="noConversion"/>
  </si>
  <si>
    <t>數量</t>
    <phoneticPr fontId="5" type="noConversion"/>
  </si>
  <si>
    <t>預估費用
(新臺幣)</t>
    <phoneticPr fontId="5" type="noConversion"/>
  </si>
  <si>
    <r>
      <t xml:space="preserve">提醒:
「請款單號、申請人員工號、預算來源、需求天數、項目、說明、數量、預估費用」欄位裡皆需選填及手動key入。
</t>
    </r>
    <r>
      <rPr>
        <b/>
        <sz val="14"/>
        <color rgb="FF0000FF"/>
        <rFont val="Microsoft JhengHei Light"/>
        <family val="2"/>
        <charset val="136"/>
      </rPr>
      <t>※金額欄位可以自行修改「儲存格格式」，可修改幣別及小數位數。</t>
    </r>
    <phoneticPr fontId="3" type="noConversion"/>
  </si>
  <si>
    <t xml:space="preserve"> </t>
    <phoneticPr fontId="5" type="noConversion"/>
  </si>
  <si>
    <t>總計</t>
    <phoneticPr fontId="5" type="noConversion"/>
  </si>
  <si>
    <t>備
註</t>
    <phoneticPr fontId="5" type="noConversion"/>
  </si>
  <si>
    <r>
      <t>後續是否進行</t>
    </r>
    <r>
      <rPr>
        <b/>
        <sz val="12"/>
        <color rgb="FFFF0000"/>
        <rFont val="Microsoft JhengHei Light"/>
        <family val="2"/>
        <charset val="136"/>
      </rPr>
      <t>同廠商、同品項的第二次採購</t>
    </r>
    <phoneticPr fontId="3" type="noConversion"/>
  </si>
  <si>
    <t>請選擇</t>
  </si>
  <si>
    <t>註1：需向財會單位取號，編碼原則為CP+民國年月5碼(數字)+流水號4碼，請購單、採購單、驗收單編號有對應關係。</t>
    <phoneticPr fontId="5" type="noConversion"/>
  </si>
  <si>
    <t>注意事項</t>
    <phoneticPr fontId="5" type="noConversion"/>
  </si>
  <si>
    <t>1. 請購項目如為非裝在車體上隨車出售，且未稅金額達80,000(含)以上，請購項目才能選「設備」，否則請選「材料」。</t>
    <phoneticPr fontId="3" type="noConversion"/>
  </si>
  <si>
    <t>2. 請購、採購及驗收請款流程請確實按照公司採購流程進行，勿將所有文件同時送簽。</t>
    <phoneticPr fontId="3" type="noConversion"/>
  </si>
  <si>
    <t>核決</t>
    <phoneticPr fontId="5" type="noConversion"/>
  </si>
  <si>
    <t>預算負責人</t>
    <phoneticPr fontId="5" type="noConversion"/>
  </si>
  <si>
    <t>申請單位主管</t>
    <phoneticPr fontId="3" type="noConversion"/>
  </si>
  <si>
    <t>申請人</t>
    <phoneticPr fontId="3" type="noConversion"/>
  </si>
  <si>
    <t>經辦</t>
    <phoneticPr fontId="3" type="noConversion"/>
  </si>
  <si>
    <t>簽核流程：申請人→申請單位主管→預算負責人→總經理核決(若金額超過新臺幣10萬則需再簽到董事長)。</t>
    <phoneticPr fontId="5" type="noConversion"/>
  </si>
  <si>
    <t>廠商名稱</t>
    <phoneticPr fontId="3" type="noConversion"/>
  </si>
  <si>
    <t>電話</t>
    <phoneticPr fontId="3" type="noConversion"/>
  </si>
  <si>
    <t>Mail Address</t>
    <phoneticPr fontId="3" type="noConversion"/>
  </si>
  <si>
    <t>聯絡人</t>
    <phoneticPr fontId="3" type="noConversion"/>
  </si>
  <si>
    <t>中華電信</t>
    <phoneticPr fontId="3" type="noConversion"/>
  </si>
  <si>
    <t>02-2706-6918#6988</t>
    <phoneticPr fontId="3" type="noConversion"/>
  </si>
  <si>
    <t>summer797731@gmail.com</t>
    <phoneticPr fontId="3" type="noConversion"/>
  </si>
  <si>
    <t>王先生</t>
    <phoneticPr fontId="3" type="noConversion"/>
  </si>
  <si>
    <t>遠傳</t>
    <phoneticPr fontId="3" type="noConversion"/>
  </si>
  <si>
    <t>王小姐</t>
    <phoneticPr fontId="3" type="noConversion"/>
  </si>
  <si>
    <t>台灣大哥大</t>
    <phoneticPr fontId="3" type="noConversion"/>
  </si>
  <si>
    <t>123@gmail.com</t>
    <phoneticPr fontId="3" type="noConversion"/>
  </si>
  <si>
    <t>台灣之星</t>
    <phoneticPr fontId="3" type="noConversion"/>
  </si>
  <si>
    <t>採購申請單</t>
    <phoneticPr fontId="3" type="noConversion"/>
  </si>
  <si>
    <t>採購日期：</t>
    <phoneticPr fontId="5" type="noConversion"/>
  </si>
  <si>
    <t>預計採購廠商*：</t>
    <phoneticPr fontId="3" type="noConversion"/>
  </si>
  <si>
    <t>因採購品項為特殊產品、僅有一家供應商可提供，故不檢附其他廠商報價單</t>
    <phoneticPr fontId="3" type="noConversion"/>
  </si>
  <si>
    <t>採購單號：</t>
    <phoneticPr fontId="3" type="noConversion"/>
  </si>
  <si>
    <t>付款方式*：</t>
    <phoneticPr fontId="3" type="noConversion"/>
  </si>
  <si>
    <t>客戶指定</t>
    <phoneticPr fontId="3" type="noConversion"/>
  </si>
  <si>
    <t>需求單位：</t>
    <phoneticPr fontId="5" type="noConversion"/>
  </si>
  <si>
    <t>付款條件*：</t>
    <phoneticPr fontId="3" type="noConversion"/>
  </si>
  <si>
    <t>第二次採購</t>
    <phoneticPr fontId="3" type="noConversion"/>
  </si>
  <si>
    <t>需求人員工號：</t>
    <phoneticPr fontId="5" type="noConversion"/>
  </si>
  <si>
    <t>預計需求/交貨天數*：</t>
    <phoneticPr fontId="3" type="noConversion"/>
  </si>
  <si>
    <t>項   次</t>
    <phoneticPr fontId="5" type="noConversion"/>
  </si>
  <si>
    <t>項目(註1)</t>
    <phoneticPr fontId="3" type="noConversion"/>
  </si>
  <si>
    <t>預算編號</t>
    <phoneticPr fontId="3" type="noConversion"/>
  </si>
  <si>
    <r>
      <t xml:space="preserve">說明
</t>
    </r>
    <r>
      <rPr>
        <sz val="10"/>
        <color rgb="FFFF0000"/>
        <rFont val="微軟正黑體"/>
        <family val="2"/>
        <charset val="136"/>
      </rPr>
      <t>品牌,型號規格,名稱</t>
    </r>
    <phoneticPr fontId="5" type="noConversion"/>
  </si>
  <si>
    <t>單位</t>
    <phoneticPr fontId="5" type="noConversion"/>
  </si>
  <si>
    <r>
      <t xml:space="preserve">單價
</t>
    </r>
    <r>
      <rPr>
        <sz val="10"/>
        <rFont val="微軟正黑體"/>
        <family val="2"/>
        <charset val="136"/>
      </rPr>
      <t>(新臺幣含營業稅)</t>
    </r>
    <phoneticPr fontId="5" type="noConversion"/>
  </si>
  <si>
    <r>
      <t xml:space="preserve">總價
</t>
    </r>
    <r>
      <rPr>
        <sz val="10"/>
        <rFont val="微軟正黑體"/>
        <family val="2"/>
        <charset val="136"/>
      </rPr>
      <t>(新臺幣含營業稅)</t>
    </r>
    <phoneticPr fontId="5" type="noConversion"/>
  </si>
  <si>
    <r>
      <t xml:space="preserve">提醒:
「預計採購廠商、付款方式、付款條件、需求(交貨)天數、項目、說明、單位、單價、數量、總價、備註」欄位裡皆需選填及手動key入。
</t>
    </r>
    <r>
      <rPr>
        <b/>
        <sz val="13"/>
        <color rgb="FF0000FF"/>
        <rFont val="Microsoft JhengHei Light"/>
        <family val="2"/>
        <charset val="136"/>
      </rPr>
      <t xml:space="preserve">
</t>
    </r>
    <r>
      <rPr>
        <b/>
        <sz val="14"/>
        <color rgb="FF0000FF"/>
        <rFont val="Microsoft JhengHei Light"/>
        <family val="2"/>
        <charset val="136"/>
      </rPr>
      <t>※金額欄位可以自行修改「儲存格格式」，可修改幣別及小數位數。</t>
    </r>
    <phoneticPr fontId="3" type="noConversion"/>
  </si>
  <si>
    <t>合計</t>
    <phoneticPr fontId="5" type="noConversion"/>
  </si>
  <si>
    <t>V</t>
  </si>
  <si>
    <t>未檢附其他報價單原因：</t>
    <phoneticPr fontId="3" type="noConversion"/>
  </si>
  <si>
    <t>備註：</t>
    <phoneticPr fontId="5" type="noConversion"/>
  </si>
  <si>
    <t>註1：預算編號及項目應與請購單之內容相同。</t>
    <phoneticPr fontId="3" type="noConversion"/>
  </si>
  <si>
    <t>註2：本採購相關附加費用需同時填寫，如預估關稅、運費、保險費…等。</t>
    <phoneticPr fontId="3" type="noConversion"/>
  </si>
  <si>
    <t>注意事項</t>
    <phoneticPr fontId="3" type="noConversion"/>
  </si>
  <si>
    <t>1. 採購項目如為非裝在車體上隨車出售，且未稅金額達80,000(含)以上，採購項目才能選「設備」，否則請選「材料」。</t>
    <phoneticPr fontId="3" type="noConversion"/>
  </si>
  <si>
    <t>2. 如為國內廠商以外幣進行報價及收付款，請確定交易金額是否需含本國營業稅5%及該交易憑證開立方式。</t>
    <phoneticPr fontId="3" type="noConversion"/>
  </si>
  <si>
    <t>4. 廠商報價單上的付款條件，需能對應到該費用申請單的期望付款日。</t>
    <phoneticPr fontId="3" type="noConversion"/>
  </si>
  <si>
    <t>5. 國內廠商之報價單公司抬頭必需為「台灣智慧駕駛股份有限公司」，國外廠商之QUOTATION公司抬頭必需為「TURING DRIVE INC.」。</t>
    <phoneticPr fontId="3" type="noConversion"/>
  </si>
  <si>
    <t>6. 請購、採購及驗收請款流程請確實按照公司採購流程進行，勿將所有文件同時送簽。</t>
    <phoneticPr fontId="3" type="noConversion"/>
  </si>
  <si>
    <t>預算負責人</t>
  </si>
  <si>
    <t>簽核流程：申請人→申請單位主管→預算負責人→總經理核決(若金額超過新台幣10萬則需再簽到董事長)。</t>
    <phoneticPr fontId="5" type="noConversion"/>
  </si>
  <si>
    <t>驗收單</t>
    <phoneticPr fontId="5" type="noConversion"/>
  </si>
  <si>
    <t>驗收日期：</t>
    <phoneticPr fontId="5" type="noConversion"/>
  </si>
  <si>
    <t>承攬廠商：</t>
    <phoneticPr fontId="5" type="noConversion"/>
  </si>
  <si>
    <t>驗收單號：</t>
    <phoneticPr fontId="3" type="noConversion"/>
  </si>
  <si>
    <t>C1</t>
  </si>
  <si>
    <t>申請人：</t>
    <phoneticPr fontId="3" type="noConversion"/>
  </si>
  <si>
    <r>
      <t xml:space="preserve">說明
</t>
    </r>
    <r>
      <rPr>
        <sz val="9"/>
        <rFont val="微軟正黑體"/>
        <family val="2"/>
        <charset val="136"/>
      </rPr>
      <t>品牌,型號規格,名稱</t>
    </r>
    <phoneticPr fontId="5" type="noConversion"/>
  </si>
  <si>
    <t>驗　　　收</t>
  </si>
  <si>
    <t>備註</t>
    <phoneticPr fontId="5" type="noConversion"/>
  </si>
  <si>
    <r>
      <t>財產編號</t>
    </r>
    <r>
      <rPr>
        <sz val="8"/>
        <rFont val="微軟正黑體"/>
        <family val="2"/>
        <charset val="136"/>
      </rPr>
      <t>(註1)</t>
    </r>
    <phoneticPr fontId="5" type="noConversion"/>
  </si>
  <si>
    <t>Pass or Fail</t>
    <phoneticPr fontId="5" type="noConversion"/>
  </si>
  <si>
    <t>提醒:
「驗收」欄位裡需選填，通過=Pass; 不通過=Fail</t>
    <phoneticPr fontId="3" type="noConversion"/>
  </si>
  <si>
    <t>驗收單據或說明：</t>
    <phoneticPr fontId="5" type="noConversion"/>
  </si>
  <si>
    <t>註1：若設備未稅金額在NT$80,000(含)以上，且耐用年限達2年以上需列入固定資產(資本支出且需造冊管理)</t>
    <phoneticPr fontId="5" type="noConversion"/>
  </si>
  <si>
    <r>
      <t>　　</t>
    </r>
    <r>
      <rPr>
        <sz val="14"/>
        <rFont val="微軟正黑體"/>
        <family val="2"/>
        <charset val="136"/>
      </rPr>
      <t xml:space="preserve">  </t>
    </r>
    <r>
      <rPr>
        <sz val="12"/>
        <rFont val="微軟正黑體"/>
        <family val="2"/>
        <charset val="136"/>
      </rPr>
      <t>若材料未稅金額在NT$10,000(含)以上，或耐用年限達2年以上需列入庫存管理(雜項購置、原物料件且須造冊管理)</t>
    </r>
    <phoneticPr fontId="5" type="noConversion"/>
  </si>
  <si>
    <t>註2：請款時需檢附簽核完畢之驗收單及驗收文件影本。</t>
    <phoneticPr fontId="5" type="noConversion"/>
  </si>
  <si>
    <t>1. 付款條件如需支付預付款，不需送驗收單，待到貨後實際驗收完成再進行驗收流程。</t>
    <phoneticPr fontId="5" type="noConversion"/>
  </si>
  <si>
    <t>2. 如上項預付貨款發生驗收不通過之情事，需另行申請開立進貨折讓單向廠商申請退款。</t>
    <phoneticPr fontId="5" type="noConversion"/>
  </si>
  <si>
    <t>驗收審核</t>
    <phoneticPr fontId="5" type="noConversion"/>
  </si>
  <si>
    <t>財產入帳</t>
    <phoneticPr fontId="3" type="noConversion"/>
  </si>
  <si>
    <t>預算負責人</t>
    <phoneticPr fontId="3" type="noConversion"/>
  </si>
  <si>
    <t>申請人</t>
    <phoneticPr fontId="5" type="noConversion"/>
  </si>
  <si>
    <t>驗收人</t>
    <phoneticPr fontId="3" type="noConversion"/>
  </si>
  <si>
    <t>簽核流程：驗收人+申請人→申請單位主管→預算負責人→管理單位填寫財產編號造冊列管。</t>
    <phoneticPr fontId="5" type="noConversion"/>
  </si>
  <si>
    <t>費用申請單</t>
    <phoneticPr fontId="5" type="noConversion"/>
  </si>
  <si>
    <t>申請日期：</t>
    <phoneticPr fontId="5" type="noConversion"/>
  </si>
  <si>
    <t>申請單位：</t>
    <phoneticPr fontId="5" type="noConversion"/>
  </si>
  <si>
    <t>申請人工號：</t>
    <phoneticPr fontId="5" type="noConversion"/>
  </si>
  <si>
    <t>0085</t>
    <phoneticPr fontId="3" type="noConversion"/>
  </si>
  <si>
    <t>項次</t>
    <phoneticPr fontId="5" type="noConversion"/>
  </si>
  <si>
    <t>代號</t>
    <phoneticPr fontId="3" type="noConversion"/>
  </si>
  <si>
    <t>項目(註1)</t>
    <phoneticPr fontId="5" type="noConversion"/>
  </si>
  <si>
    <t>預算代號</t>
    <phoneticPr fontId="5" type="noConversion"/>
  </si>
  <si>
    <r>
      <t xml:space="preserve">內容或說明
</t>
    </r>
    <r>
      <rPr>
        <sz val="12"/>
        <color rgb="FFFF0000"/>
        <rFont val="微軟正黑體"/>
        <family val="2"/>
        <charset val="136"/>
      </rPr>
      <t>品牌,型號規格,名稱</t>
    </r>
    <phoneticPr fontId="3" type="noConversion"/>
  </si>
  <si>
    <t>金 額
(新臺幣)</t>
    <phoneticPr fontId="3" type="noConversion"/>
  </si>
  <si>
    <t>溫馨提醒:
「預計來源、申請人工號、項目、說明、金額、付款資訊」欄位裡皆需選填及手動key入。</t>
    <phoneticPr fontId="3" type="noConversion"/>
  </si>
  <si>
    <t>總金額</t>
    <phoneticPr fontId="5" type="noConversion"/>
  </si>
  <si>
    <t>………………………………… 付       款       資       訊 …………………………………</t>
    <phoneticPr fontId="5" type="noConversion"/>
  </si>
  <si>
    <t>付款對象：</t>
    <phoneticPr fontId="5" type="noConversion"/>
  </si>
  <si>
    <t>外部廠商</t>
  </si>
  <si>
    <t>銀行名稱：</t>
  </si>
  <si>
    <t>付款方式：</t>
    <phoneticPr fontId="3" type="noConversion"/>
  </si>
  <si>
    <t>銀行戶名：</t>
    <phoneticPr fontId="3" type="noConversion"/>
  </si>
  <si>
    <t>期望付款日：</t>
    <phoneticPr fontId="3" type="noConversion"/>
  </si>
  <si>
    <t>銀行帳號：</t>
  </si>
  <si>
    <t>※請確實填寫期望付款日以利安排匯款，若未填寫，付款條件將以月結30天計算</t>
    <phoneticPr fontId="3" type="noConversion"/>
  </si>
  <si>
    <t xml:space="preserve">備註:
</t>
    <phoneticPr fontId="3" type="noConversion"/>
  </si>
  <si>
    <t>1. 發票或收據買受人需為台灣智慧駕駛股份有限公司、統一編號為50773141，國外INVOICE或RECEIPT買受人需為TURING DRIVE INC.。</t>
    <phoneticPr fontId="3" type="noConversion"/>
  </si>
  <si>
    <t>2. 賣方名稱、統一編號、地址、電話應清晰可辦認；發票或收據若有書寫錯誤、塗改或模糊不清者均無效，需請賣方重新開立。</t>
    <phoneticPr fontId="3" type="noConversion"/>
  </si>
  <si>
    <t>3. 數量乘以單價應等於總金額並應與中文大寫金額相同；發票和免用統一發票收據的總計中文大寫處，請寫”零壹貳參肆伍陸柒捌玖”。</t>
    <phoneticPr fontId="3" type="noConversion"/>
  </si>
  <si>
    <t>4. 各式憑證請另外拿紙黏貼並附於費用申請單之後，憑證重要資訊請勿覆蓋。</t>
    <phoneticPr fontId="3" type="noConversion"/>
  </si>
  <si>
    <t>5. 費用申請單每項填寫單一憑證資訊，並於原始憑證註記項次以便查詢，切勿合併填寫。</t>
    <phoneticPr fontId="3" type="noConversion"/>
  </si>
  <si>
    <t>6. 交際費請款必需寫上宴請對象。</t>
    <phoneticPr fontId="3" type="noConversion"/>
  </si>
  <si>
    <t>7.申請之費用如有使用期間（如：軟體帳號使用期間及訂閱期間…等），請務必註明。</t>
    <phoneticPr fontId="3" type="noConversion"/>
  </si>
  <si>
    <t>核
決</t>
    <phoneticPr fontId="5" type="noConversion"/>
  </si>
  <si>
    <t xml:space="preserve">簽核流程：申請人→申請單位主管→預算負責人→總經理核決(若金額超過新台幣10萬則需再簽到董事長)。         </t>
    <phoneticPr fontId="5" type="noConversion"/>
  </si>
  <si>
    <t>採購選手清單</t>
    <phoneticPr fontId="5" type="noConversion"/>
  </si>
  <si>
    <t>期望到貨日：</t>
    <phoneticPr fontId="3" type="noConversion"/>
  </si>
  <si>
    <t>廠商</t>
    <phoneticPr fontId="3" type="noConversion"/>
  </si>
  <si>
    <t>品牌</t>
    <phoneticPr fontId="5" type="noConversion"/>
  </si>
  <si>
    <t>型號規格</t>
    <phoneticPr fontId="5" type="noConversion"/>
  </si>
  <si>
    <t>品名</t>
    <phoneticPr fontId="3" type="noConversion"/>
  </si>
  <si>
    <t>單位</t>
    <phoneticPr fontId="3" type="noConversion"/>
  </si>
  <si>
    <t>備註</t>
    <phoneticPr fontId="3" type="noConversion"/>
  </si>
  <si>
    <t>需求單位簽名：</t>
    <phoneticPr fontId="3" type="noConversion"/>
  </si>
  <si>
    <t>客戶/供應商 資料卡</t>
    <phoneticPr fontId="3" type="noConversion"/>
  </si>
  <si>
    <t>填表日期：</t>
    <phoneticPr fontId="3" type="noConversion"/>
  </si>
  <si>
    <t>公司名稱</t>
  </si>
  <si>
    <t>公司所屬國籍</t>
    <phoneticPr fontId="3" type="noConversion"/>
  </si>
  <si>
    <t>公司簡稱</t>
  </si>
  <si>
    <t>客戶/供應商
代號</t>
    <phoneticPr fontId="3" type="noConversion"/>
  </si>
  <si>
    <t>公司註冊編號</t>
    <phoneticPr fontId="3" type="noConversion"/>
  </si>
  <si>
    <t>登記地址</t>
  </si>
  <si>
    <t>通訊地址</t>
  </si>
  <si>
    <t>公司電話</t>
    <phoneticPr fontId="3" type="noConversion"/>
  </si>
  <si>
    <t>聯絡人姓名</t>
    <phoneticPr fontId="3" type="noConversion"/>
  </si>
  <si>
    <t>聯絡人單位</t>
    <phoneticPr fontId="3" type="noConversion"/>
  </si>
  <si>
    <t>聯絡人電話</t>
    <phoneticPr fontId="3" type="noConversion"/>
  </si>
  <si>
    <t>聯絡人手機</t>
    <phoneticPr fontId="3" type="noConversion"/>
  </si>
  <si>
    <t>E-mail</t>
    <phoneticPr fontId="3" type="noConversion"/>
  </si>
  <si>
    <t>往來
銀行</t>
    <phoneticPr fontId="3" type="noConversion"/>
  </si>
  <si>
    <t>銀行名稱</t>
    <phoneticPr fontId="3" type="noConversion"/>
  </si>
  <si>
    <t>分行</t>
  </si>
  <si>
    <t>帳號</t>
  </si>
  <si>
    <t>帳戶名稱</t>
  </si>
  <si>
    <t>交易幣別</t>
    <phoneticPr fontId="3" type="noConversion"/>
  </si>
  <si>
    <r>
      <t>※請盡量檢附</t>
    </r>
    <r>
      <rPr>
        <b/>
        <u/>
        <sz val="12"/>
        <color theme="1"/>
        <rFont val="微軟正黑體"/>
        <family val="2"/>
        <charset val="136"/>
      </rPr>
      <t>銀行帳號資訊</t>
    </r>
    <r>
      <rPr>
        <b/>
        <sz val="12"/>
        <color theme="1"/>
        <rFont val="微軟正黑體"/>
        <family val="2"/>
        <charset val="136"/>
      </rPr>
      <t>。</t>
    </r>
    <phoneticPr fontId="3" type="noConversion"/>
  </si>
  <si>
    <t>銀行帳號黏貼處</t>
    <phoneticPr fontId="3" type="noConversion"/>
  </si>
  <si>
    <t>以上資料均已向客戶或供應商確認屬實。</t>
    <phoneticPr fontId="3" type="noConversion"/>
  </si>
  <si>
    <t>適用於封閉區域慢速自駕車之「通用型車頂整合設備包」設計</t>
  </si>
  <si>
    <t>115BD005</t>
  </si>
  <si>
    <t>115BD005RP01</t>
  </si>
  <si>
    <t>115BD005SE01</t>
  </si>
  <si>
    <t>115BD005SE91</t>
  </si>
  <si>
    <t>115BD005SE16</t>
  </si>
  <si>
    <t>115BD005SE17</t>
  </si>
  <si>
    <t>115BD005SE14</t>
  </si>
  <si>
    <t>115BD005SE03</t>
  </si>
  <si>
    <t>115BD005SE04</t>
  </si>
  <si>
    <t>115BD005SE99</t>
  </si>
  <si>
    <t>適用於封閉區域慢速自駕車之「通用型車頂整合設備包」設計</t>
    <phoneticPr fontId="3" type="noConversion"/>
  </si>
  <si>
    <t>附件：□報價單□合約□客供資料卡</t>
    <phoneticPr fontId="5" type="noConversion"/>
  </si>
  <si>
    <t>7.採購金額&lt;NT30,000→報價單x1家，採購金額NT30,000~NT100,000→報價單x2家，採購金額≧NT100,000→報價單x3家。</t>
    <phoneticPr fontId="3" type="noConversion"/>
  </si>
  <si>
    <r>
      <t>　3. 如採購金額超過3萬以上，或經常性每年採購6次以上之供應商，需請對方填寫「</t>
    </r>
    <r>
      <rPr>
        <sz val="12"/>
        <color rgb="FF0000FF"/>
        <rFont val="微軟正黑體"/>
        <family val="2"/>
        <charset val="136"/>
      </rPr>
      <t>供應商基本資料卡</t>
    </r>
    <r>
      <rPr>
        <sz val="12"/>
        <color theme="1"/>
        <rFont val="微軟正黑體"/>
        <family val="2"/>
        <charset val="136"/>
      </rPr>
      <t>」，並請申請人確認。</t>
    </r>
    <phoneticPr fontId="3" type="noConversion"/>
  </si>
  <si>
    <t>3. 如採購金額超過3萬以上，或經常性每年採購6次以上之供應商，需請對方填寫「供應商基本資料卡」，並請申請人確認。</t>
    <phoneticPr fontId="3" type="noConversion"/>
  </si>
  <si>
    <t>0091</t>
  </si>
  <si>
    <t>李盈萱</t>
    <phoneticPr fontId="3" type="noConversion"/>
  </si>
  <si>
    <t xml:space="preserve">主辦財務會計 </t>
    <phoneticPr fontId="3" type="noConversion"/>
  </si>
  <si>
    <t>國際拔尖潛力新創獎勵</t>
    <phoneticPr fontId="3" type="noConversion"/>
  </si>
  <si>
    <t>115BD006RP01</t>
  </si>
  <si>
    <t>115BD006SE01</t>
  </si>
  <si>
    <t>115BD006SE91</t>
  </si>
  <si>
    <t>115BD006SE16</t>
  </si>
  <si>
    <t>115BD006SE17</t>
  </si>
  <si>
    <t>115BD006SE14</t>
  </si>
  <si>
    <t>115BD006SE03</t>
  </si>
  <si>
    <t>115BD006SE04</t>
  </si>
  <si>
    <t>115BD006SE99</t>
  </si>
  <si>
    <t>115BD006</t>
    <phoneticPr fontId="3" type="noConversion"/>
  </si>
  <si>
    <t>0091</t>
    <phoneticPr fontId="3" type="noConversion"/>
  </si>
  <si>
    <t>20260709版</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</si>
</sst>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76" formatCode="[$-404]ggge&quot;年&quot;m&quot;月&quot;d&quot;日&quot;;@"/>
    <numFmt numFmtId="177" formatCode="#,##0_);[Red]\(#,##0\)"/>
    <numFmt numFmtId="178" formatCode="[DBNum2]&quot;新台幣&quot;\ [$-404]General\ &quot;元整&quot;"/>
    <numFmt numFmtId="179" formatCode="0_);[Red]\(0\)"/>
    <numFmt numFmtId="180" formatCode="[$-404]gge&quot;年&quot;m&quot;月&quot;d&quot;日&quot;;@"/>
    <numFmt numFmtId="181" formatCode="#,##0_ ;[Red]\-#,##0\ "/>
    <numFmt numFmtId="182" formatCode="[$-404]e&quot;年&quot;mm&quot;月&quot;dd&quot;日&quot;;@"/>
    <numFmt numFmtId="183" formatCode="0.00_ "/>
    <numFmt numFmtId="184" formatCode="#,##0.00_);[Red]\(#,##0.00\)"/>
    <numFmt numFmtId="185" formatCode="0.00_);[Red]\(0.00\)"/>
    <numFmt numFmtId="186" formatCode="[$-404]ee&quot;年&quot;mm&quot;月&quot;dd&quot;日&quot;;@"/>
  </numFmts>
  <fonts count="75">
    <font>
      <sz val="12"/>
      <color theme="1"/>
      <name val="新細明體"/>
      <family val="2"/>
      <charset val="136"/>
      <scheme val="minor"/>
    </font>
    <font>
      <sz val="12"/>
      <name val="新細明體"/>
      <family val="1"/>
      <charset val="136"/>
    </font>
    <font>
      <sz val="12"/>
      <name val="標楷體"/>
      <family val="4"/>
      <charset val="136"/>
    </font>
    <font>
      <sz val="9"/>
      <name val="新細明體"/>
      <family val="2"/>
      <charset val="136"/>
      <scheme val="minor"/>
    </font>
    <font>
      <sz val="10"/>
      <name val="標楷體"/>
      <family val="4"/>
      <charset val="136"/>
    </font>
    <font>
      <sz val="9"/>
      <name val="新細明體"/>
      <family val="1"/>
      <charset val="136"/>
    </font>
    <font>
      <sz val="10"/>
      <name val="Arial"/>
      <family val="2"/>
    </font>
    <font>
      <sz val="6"/>
      <name val="標楷體"/>
      <family val="4"/>
      <charset val="136"/>
    </font>
    <font>
      <sz val="12"/>
      <color theme="1"/>
      <name val="Arial"/>
      <family val="2"/>
    </font>
    <font>
      <sz val="12"/>
      <name val="Microsoft JhengHei Light"/>
      <family val="2"/>
      <charset val="136"/>
    </font>
    <font>
      <sz val="9"/>
      <name val="新細明體"/>
      <family val="2"/>
      <charset val="136"/>
    </font>
    <font>
      <sz val="10"/>
      <name val="Microsoft JhengHei Light"/>
      <family val="2"/>
      <charset val="136"/>
    </font>
    <font>
      <b/>
      <sz val="16"/>
      <color theme="5" tint="-0.249977111117893"/>
      <name val="Microsoft JhengHei Light"/>
      <family val="2"/>
      <charset val="136"/>
    </font>
    <font>
      <sz val="14"/>
      <name val="Microsoft JhengHei Light"/>
      <family val="2"/>
      <charset val="136"/>
    </font>
    <font>
      <sz val="16"/>
      <name val="Microsoft JhengHei Light"/>
      <family val="2"/>
      <charset val="136"/>
    </font>
    <font>
      <b/>
      <sz val="10"/>
      <name val="Microsoft JhengHei Light"/>
      <family val="2"/>
      <charset val="136"/>
    </font>
    <font>
      <b/>
      <u/>
      <sz val="10"/>
      <name val="Microsoft JhengHei Light"/>
      <family val="2"/>
      <charset val="136"/>
    </font>
    <font>
      <sz val="12"/>
      <name val="微軟正黑體"/>
      <family val="2"/>
      <charset val="136"/>
    </font>
    <font>
      <sz val="10"/>
      <name val="微軟正黑體"/>
      <family val="2"/>
      <charset val="136"/>
    </font>
    <font>
      <b/>
      <sz val="18"/>
      <name val="微軟正黑體"/>
      <family val="2"/>
      <charset val="136"/>
    </font>
    <font>
      <b/>
      <sz val="12"/>
      <name val="微軟正黑體"/>
      <family val="2"/>
      <charset val="136"/>
    </font>
    <font>
      <b/>
      <u/>
      <sz val="12"/>
      <name val="微軟正黑體"/>
      <family val="2"/>
      <charset val="136"/>
    </font>
    <font>
      <sz val="9"/>
      <name val="微軟正黑體"/>
      <family val="2"/>
      <charset val="136"/>
    </font>
    <font>
      <sz val="8"/>
      <name val="微軟正黑體"/>
      <family val="2"/>
      <charset val="136"/>
    </font>
    <font>
      <sz val="14"/>
      <name val="微軟正黑體"/>
      <family val="2"/>
      <charset val="136"/>
    </font>
    <font>
      <b/>
      <sz val="6"/>
      <name val="微軟正黑體"/>
      <family val="2"/>
      <charset val="136"/>
    </font>
    <font>
      <sz val="6"/>
      <name val="微軟正黑體"/>
      <family val="2"/>
      <charset val="136"/>
    </font>
    <font>
      <sz val="11"/>
      <name val="微軟正黑體"/>
      <family val="2"/>
      <charset val="136"/>
    </font>
    <font>
      <b/>
      <sz val="10"/>
      <name val="微軟正黑體"/>
      <family val="2"/>
      <charset val="136"/>
    </font>
    <font>
      <b/>
      <sz val="8"/>
      <name val="微軟正黑體"/>
      <family val="2"/>
      <charset val="136"/>
    </font>
    <font>
      <sz val="12"/>
      <color theme="0" tint="-0.499984740745262"/>
      <name val="Microsoft JhengHei Light"/>
      <family val="2"/>
      <charset val="136"/>
    </font>
    <font>
      <sz val="12"/>
      <color theme="0" tint="-0.499984740745262"/>
      <name val="微軟正黑體"/>
      <family val="2"/>
      <charset val="136"/>
    </font>
    <font>
      <sz val="10"/>
      <color theme="1"/>
      <name val="微軟正黑體"/>
      <family val="2"/>
      <charset val="136"/>
    </font>
    <font>
      <sz val="10"/>
      <color rgb="FF000000"/>
      <name val="微軟正黑體"/>
      <family val="2"/>
      <charset val="136"/>
    </font>
    <font>
      <u/>
      <sz val="12"/>
      <color theme="10"/>
      <name val="新細明體"/>
      <family val="2"/>
      <charset val="136"/>
      <scheme val="minor"/>
    </font>
    <font>
      <sz val="12"/>
      <color theme="1"/>
      <name val="微軟正黑體"/>
      <family val="2"/>
      <charset val="136"/>
    </font>
    <font>
      <b/>
      <sz val="12"/>
      <color rgb="FFFF0000"/>
      <name val="微軟正黑體"/>
      <family val="2"/>
      <charset val="136"/>
    </font>
    <font>
      <sz val="11"/>
      <color rgb="FF000000"/>
      <name val="新細明體"/>
      <family val="1"/>
      <charset val="136"/>
      <scheme val="minor"/>
    </font>
    <font>
      <sz val="12"/>
      <color rgb="FFFF0000"/>
      <name val="微軟正黑體"/>
      <family val="2"/>
      <charset val="136"/>
    </font>
    <font>
      <sz val="12"/>
      <color theme="9" tint="-0.249977111117893"/>
      <name val="微軟正黑體"/>
      <family val="2"/>
      <charset val="136"/>
    </font>
    <font>
      <b/>
      <sz val="12"/>
      <color rgb="FFFF0000"/>
      <name val="Microsoft JhengHei Light"/>
      <family val="2"/>
      <charset val="136"/>
    </font>
    <font>
      <b/>
      <sz val="14"/>
      <name val="微軟正黑體"/>
      <family val="2"/>
      <charset val="136"/>
    </font>
    <font>
      <b/>
      <sz val="12"/>
      <name val="Microsoft JhengHei Light"/>
      <family val="2"/>
      <charset val="136"/>
    </font>
    <font>
      <b/>
      <sz val="12"/>
      <name val="標楷體"/>
      <family val="4"/>
      <charset val="136"/>
    </font>
    <font>
      <sz val="10"/>
      <color rgb="FFFF0000"/>
      <name val="微軟正黑體"/>
      <family val="2"/>
      <charset val="136"/>
    </font>
    <font>
      <b/>
      <sz val="14"/>
      <color theme="5" tint="-0.249977111117893"/>
      <name val="Microsoft JhengHei Light"/>
      <family val="2"/>
      <charset val="136"/>
    </font>
    <font>
      <sz val="12"/>
      <color theme="1"/>
      <name val="新細明體"/>
      <family val="2"/>
      <charset val="136"/>
      <scheme val="minor"/>
    </font>
    <font>
      <b/>
      <sz val="14"/>
      <name val="Microsoft JhengHei Light"/>
      <family val="2"/>
      <charset val="136"/>
    </font>
    <font>
      <b/>
      <sz val="14"/>
      <name val="標楷體"/>
      <family val="4"/>
      <charset val="136"/>
    </font>
    <font>
      <b/>
      <sz val="14"/>
      <color rgb="FF0000FF"/>
      <name val="Microsoft JhengHei Light"/>
      <family val="2"/>
      <charset val="136"/>
    </font>
    <font>
      <sz val="13"/>
      <name val="微軟正黑體"/>
      <family val="2"/>
      <charset val="136"/>
    </font>
    <font>
      <sz val="13"/>
      <name val="Microsoft JhengHei Light"/>
      <family val="2"/>
      <charset val="136"/>
    </font>
    <font>
      <sz val="13"/>
      <name val="標楷體"/>
      <family val="4"/>
      <charset val="136"/>
    </font>
    <font>
      <b/>
      <sz val="13"/>
      <color rgb="FF0000FF"/>
      <name val="Microsoft JhengHei Light"/>
      <family val="2"/>
      <charset val="136"/>
    </font>
    <font>
      <sz val="12"/>
      <color rgb="FFFF0000"/>
      <name val="標楷體"/>
      <family val="4"/>
      <charset val="136"/>
    </font>
    <font>
      <b/>
      <sz val="18"/>
      <color theme="1"/>
      <name val="微軟正黑體"/>
      <family val="2"/>
      <charset val="136"/>
    </font>
    <font>
      <b/>
      <sz val="12"/>
      <color theme="1"/>
      <name val="微軟正黑體"/>
      <family val="2"/>
      <charset val="136"/>
    </font>
    <font>
      <sz val="12"/>
      <color theme="10"/>
      <name val="微軟正黑體"/>
      <family val="2"/>
      <charset val="136"/>
    </font>
    <font>
      <b/>
      <sz val="20"/>
      <color theme="1"/>
      <name val="微軟正黑體"/>
      <family val="2"/>
      <charset val="136"/>
    </font>
    <font>
      <b/>
      <u/>
      <sz val="12"/>
      <color theme="1"/>
      <name val="微軟正黑體"/>
      <family val="2"/>
      <charset val="136"/>
    </font>
    <font>
      <b/>
      <sz val="14"/>
      <color theme="1"/>
      <name val="微軟正黑體"/>
      <family val="2"/>
      <charset val="136"/>
    </font>
    <font>
      <sz val="14"/>
      <color theme="1"/>
      <name val="微軟正黑體"/>
      <family val="2"/>
      <charset val="136"/>
    </font>
    <font>
      <b/>
      <sz val="28"/>
      <color theme="0" tint="-0.14999847407452621"/>
      <name val="微軟正黑體"/>
      <family val="2"/>
      <charset val="136"/>
    </font>
    <font>
      <sz val="12"/>
      <color rgb="FF000000"/>
      <name val="微軟正黑體"/>
      <family val="2"/>
      <charset val="136"/>
    </font>
    <font>
      <b/>
      <sz val="12"/>
      <color rgb="FF7030A0"/>
      <name val="微軟正黑體"/>
      <family val="2"/>
      <charset val="136"/>
    </font>
    <font>
      <b/>
      <sz val="12"/>
      <color rgb="FF0000FF"/>
      <name val="微軟正黑體"/>
      <family val="2"/>
      <charset val="136"/>
    </font>
    <font>
      <b/>
      <sz val="12"/>
      <color rgb="FF000000"/>
      <name val="微軟正黑體"/>
      <family val="2"/>
      <charset val="136"/>
    </font>
    <font>
      <sz val="14"/>
      <color rgb="FF0000FF"/>
      <name val="Microsoft JhengHei Light"/>
      <family val="2"/>
      <charset val="136"/>
    </font>
    <font>
      <sz val="14"/>
      <color rgb="FF0000FF"/>
      <name val="標楷體"/>
      <family val="4"/>
      <charset val="136"/>
    </font>
    <font>
      <sz val="12"/>
      <color rgb="FFFF0000"/>
      <name val="Microsoft JhengHei Light"/>
      <family val="2"/>
      <charset val="136"/>
    </font>
    <font>
      <b/>
      <sz val="12"/>
      <color theme="1"/>
      <name val="Microsoft JhengHei UI"/>
      <family val="2"/>
      <charset val="136"/>
    </font>
    <font>
      <sz val="11"/>
      <name val="標楷體"/>
      <family val="4"/>
      <charset val="136"/>
    </font>
    <font>
      <b/>
      <sz val="13"/>
      <color theme="1"/>
      <name val="微軟正黑體"/>
      <family val="2"/>
      <charset val="136"/>
    </font>
    <font>
      <sz val="12"/>
      <color rgb="FF000000"/>
      <name val="微軟正黑體"/>
      <family val="1"/>
      <charset val="136"/>
    </font>
    <font>
      <sz val="12"/>
      <color rgb="FF0000FF"/>
      <name val="微軟正黑體"/>
      <family val="2"/>
      <charset val="136"/>
    </font>
  </fonts>
  <fills count="10">
    <fill>
      <patternFill patternType="none"/>
    </fill>
    <fill>
      <patternFill patternType="gray125"/>
    </fill>
    <fill>
      <patternFill patternType="solid">
        <fgColor theme="0" tint="-4.9989318521683403E-2"/>
        <bgColor indexed="64"/>
      </patternFill>
    </fill>
    <fill>
      <patternFill patternType="solid">
        <fgColor theme="0"/>
        <bgColor rgb="FF000000"/>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8" tint="0.79998168889431442"/>
        <bgColor rgb="FF000000"/>
      </patternFill>
    </fill>
    <fill>
      <patternFill patternType="solid">
        <fgColor theme="8" tint="0.79998168889431442"/>
        <bgColor indexed="64"/>
      </patternFill>
    </fill>
  </fills>
  <borders count="116">
    <border>
      <left/>
      <right/>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top/>
      <bottom style="medium">
        <color auto="1"/>
      </bottom>
      <diagonal/>
    </border>
    <border>
      <left/>
      <right style="medium">
        <color indexed="64"/>
      </right>
      <top/>
      <bottom/>
      <diagonal/>
    </border>
    <border>
      <left style="medium">
        <color auto="1"/>
      </left>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auto="1"/>
      </top>
      <bottom style="medium">
        <color auto="1"/>
      </bottom>
      <diagonal/>
    </border>
    <border>
      <left style="thin">
        <color indexed="64"/>
      </left>
      <right style="thin">
        <color indexed="64"/>
      </right>
      <top/>
      <bottom/>
      <diagonal/>
    </border>
    <border>
      <left style="medium">
        <color auto="1"/>
      </left>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style="thin">
        <color indexed="64"/>
      </right>
      <top/>
      <bottom style="medium">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right/>
      <top style="double">
        <color auto="1"/>
      </top>
      <bottom style="double">
        <color auto="1"/>
      </bottom>
      <diagonal/>
    </border>
    <border>
      <left style="double">
        <color auto="1"/>
      </left>
      <right/>
      <top style="double">
        <color auto="1"/>
      </top>
      <bottom/>
      <diagonal/>
    </border>
    <border>
      <left/>
      <right style="thin">
        <color indexed="64"/>
      </right>
      <top style="thin">
        <color indexed="64"/>
      </top>
      <bottom/>
      <diagonal/>
    </border>
    <border>
      <left style="double">
        <color indexed="64"/>
      </left>
      <right/>
      <top style="double">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medium">
        <color indexed="64"/>
      </right>
      <top style="double">
        <color auto="1"/>
      </top>
      <bottom style="double">
        <color auto="1"/>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right style="thin">
        <color indexed="64"/>
      </right>
      <top style="double">
        <color auto="1"/>
      </top>
      <bottom style="thin">
        <color indexed="64"/>
      </bottom>
      <diagonal/>
    </border>
    <border>
      <left/>
      <right style="thin">
        <color indexed="64"/>
      </right>
      <top style="medium">
        <color indexed="64"/>
      </top>
      <bottom/>
      <diagonal/>
    </border>
    <border>
      <left/>
      <right/>
      <top style="double">
        <color auto="1"/>
      </top>
      <bottom style="thin">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medium">
        <color indexed="64"/>
      </bottom>
      <diagonal/>
    </border>
    <border>
      <left style="double">
        <color auto="1"/>
      </left>
      <right style="double">
        <color auto="1"/>
      </right>
      <top/>
      <bottom style="double">
        <color auto="1"/>
      </bottom>
      <diagonal/>
    </border>
    <border>
      <left style="thin">
        <color indexed="64"/>
      </left>
      <right style="thin">
        <color indexed="64"/>
      </right>
      <top/>
      <bottom style="medium">
        <color indexed="64"/>
      </bottom>
      <diagonal/>
    </border>
    <border>
      <left style="double">
        <color auto="1"/>
      </left>
      <right/>
      <top/>
      <bottom style="medium">
        <color indexed="64"/>
      </bottom>
      <diagonal/>
    </border>
    <border>
      <left style="medium">
        <color auto="1"/>
      </left>
      <right/>
      <top style="medium">
        <color auto="1"/>
      </top>
      <bottom style="medium">
        <color auto="1"/>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style="double">
        <color auto="1"/>
      </right>
      <top/>
      <bottom style="double">
        <color auto="1"/>
      </bottom>
      <diagonal/>
    </border>
  </borders>
  <cellStyleXfs count="8">
    <xf numFmtId="0" fontId="0" fillId="0" borderId="0">
      <alignment vertical="center"/>
    </xf>
    <xf numFmtId="0" fontId="1" fillId="0" borderId="0">
      <alignment vertical="center"/>
    </xf>
    <xf numFmtId="43" fontId="1" fillId="0" borderId="0" applyFont="0" applyFill="0" applyBorder="0" applyAlignment="0" applyProtection="0">
      <alignment vertical="center"/>
    </xf>
    <xf numFmtId="0" fontId="1" fillId="0" borderId="0"/>
    <xf numFmtId="0" fontId="6" fillId="0" borderId="0"/>
    <xf numFmtId="0" fontId="8" fillId="0" borderId="0"/>
    <xf numFmtId="0" fontId="34" fillId="0" borderId="0" applyNumberFormat="0" applyFill="0" applyBorder="0" applyAlignment="0" applyProtection="0">
      <alignment vertical="center"/>
    </xf>
    <xf numFmtId="43" fontId="46" fillId="0" borderId="0" applyFont="0" applyFill="0" applyBorder="0" applyAlignment="0" applyProtection="0">
      <alignment vertical="center"/>
    </xf>
  </cellStyleXfs>
  <cellXfs count="593">
    <xf numFmtId="0" fontId="0" fillId="0" borderId="0" xfId="0">
      <alignment vertical="center"/>
    </xf>
    <xf numFmtId="0" fontId="2" fillId="0" borderId="0" xfId="1" applyFont="1" applyAlignment="1">
      <alignment horizontal="center" vertical="center"/>
    </xf>
    <xf numFmtId="0" fontId="2" fillId="0" borderId="0" xfId="1" applyFont="1" applyAlignment="1">
      <alignment horizontal="center" vertical="center" wrapText="1"/>
    </xf>
    <xf numFmtId="0" fontId="7" fillId="0" borderId="0" xfId="1" applyFont="1" applyAlignment="1">
      <alignment horizontal="center" vertical="center"/>
    </xf>
    <xf numFmtId="0" fontId="17" fillId="0" borderId="0" xfId="3" applyFont="1" applyAlignment="1" applyProtection="1">
      <alignment vertical="center"/>
      <protection hidden="1"/>
    </xf>
    <xf numFmtId="0" fontId="17" fillId="0" borderId="0" xfId="1" applyFont="1" applyAlignment="1">
      <alignment horizontal="center" vertical="center"/>
    </xf>
    <xf numFmtId="0" fontId="24" fillId="0" borderId="0" xfId="1" applyFont="1" applyAlignment="1">
      <alignment vertical="top" wrapText="1"/>
    </xf>
    <xf numFmtId="0" fontId="17" fillId="0" borderId="0" xfId="1" applyFont="1">
      <alignment vertical="center"/>
    </xf>
    <xf numFmtId="0" fontId="18" fillId="0" borderId="0" xfId="1" applyFont="1">
      <alignment vertical="center"/>
    </xf>
    <xf numFmtId="0" fontId="25" fillId="0" borderId="0" xfId="1" applyFont="1">
      <alignment vertical="center"/>
    </xf>
    <xf numFmtId="0" fontId="26" fillId="0" borderId="0" xfId="1" applyFont="1" applyAlignment="1">
      <alignment horizontal="center" vertical="center" wrapText="1"/>
    </xf>
    <xf numFmtId="0" fontId="26" fillId="0" borderId="0" xfId="1" applyFont="1" applyAlignment="1">
      <alignment horizontal="center" vertical="center"/>
    </xf>
    <xf numFmtId="0" fontId="17" fillId="0" borderId="16" xfId="1" applyFont="1" applyBorder="1" applyAlignment="1">
      <alignment horizontal="center" vertical="center"/>
    </xf>
    <xf numFmtId="0" fontId="17" fillId="0" borderId="15" xfId="1" applyFont="1" applyBorder="1" applyAlignment="1">
      <alignment horizontal="center" vertical="center"/>
    </xf>
    <xf numFmtId="0" fontId="17" fillId="0" borderId="0" xfId="1" applyFont="1" applyProtection="1">
      <alignment vertical="center"/>
      <protection locked="0"/>
    </xf>
    <xf numFmtId="0" fontId="17" fillId="0" borderId="54" xfId="1" applyFont="1" applyBorder="1" applyAlignment="1">
      <alignment horizontal="center" vertical="center"/>
    </xf>
    <xf numFmtId="0" fontId="17" fillId="0" borderId="56" xfId="1" applyFont="1" applyBorder="1" applyAlignment="1">
      <alignment horizontal="center" vertical="center"/>
    </xf>
    <xf numFmtId="0" fontId="17" fillId="0" borderId="0" xfId="1" applyFont="1" applyAlignment="1" applyProtection="1">
      <alignment horizontal="left" vertical="center" wrapText="1"/>
      <protection hidden="1"/>
    </xf>
    <xf numFmtId="49" fontId="17" fillId="0" borderId="0" xfId="1" applyNumberFormat="1" applyFont="1" applyAlignment="1" applyProtection="1">
      <alignment horizontal="left" vertical="center" wrapText="1"/>
      <protection hidden="1"/>
    </xf>
    <xf numFmtId="0" fontId="17" fillId="0" borderId="0" xfId="3" applyFont="1" applyAlignment="1" applyProtection="1">
      <alignment vertical="center"/>
      <protection locked="0"/>
    </xf>
    <xf numFmtId="0" fontId="17" fillId="0" borderId="13" xfId="3" applyFont="1" applyBorder="1" applyAlignment="1" applyProtection="1">
      <alignment vertical="center"/>
      <protection locked="0"/>
    </xf>
    <xf numFmtId="0" fontId="20" fillId="0" borderId="0" xfId="1" applyFont="1" applyAlignment="1" applyProtection="1">
      <alignment horizontal="right" vertical="center"/>
      <protection hidden="1"/>
    </xf>
    <xf numFmtId="0" fontId="17" fillId="0" borderId="0" xfId="1" applyFont="1" applyAlignment="1" applyProtection="1">
      <alignment horizontal="left" vertical="center"/>
      <protection hidden="1"/>
    </xf>
    <xf numFmtId="0" fontId="31" fillId="0" borderId="0" xfId="1" applyFont="1">
      <alignment vertical="center"/>
    </xf>
    <xf numFmtId="0" fontId="30" fillId="0" borderId="0" xfId="1" applyFont="1" applyProtection="1">
      <alignment vertical="center"/>
      <protection locked="0"/>
    </xf>
    <xf numFmtId="0" fontId="11" fillId="0" borderId="0" xfId="1" applyFont="1" applyProtection="1">
      <alignment vertical="center"/>
      <protection locked="0"/>
    </xf>
    <xf numFmtId="0" fontId="9" fillId="0" borderId="0" xfId="1" applyFont="1" applyProtection="1">
      <alignment vertical="center"/>
      <protection locked="0"/>
    </xf>
    <xf numFmtId="0" fontId="9" fillId="0" borderId="0" xfId="1" applyFont="1" applyAlignment="1" applyProtection="1">
      <alignment horizontal="center" vertical="center"/>
      <protection locked="0"/>
    </xf>
    <xf numFmtId="0" fontId="2" fillId="0" borderId="0" xfId="1" applyFont="1" applyAlignment="1" applyProtection="1">
      <alignment horizontal="center" vertical="center"/>
      <protection locked="0"/>
    </xf>
    <xf numFmtId="0" fontId="17" fillId="0" borderId="0" xfId="1" applyFont="1" applyAlignment="1" applyProtection="1">
      <alignment horizontal="center" vertical="center"/>
      <protection locked="0"/>
    </xf>
    <xf numFmtId="0" fontId="20" fillId="0" borderId="0" xfId="1" applyFont="1" applyAlignment="1" applyProtection="1">
      <alignment horizontal="right" vertical="center"/>
      <protection locked="0"/>
    </xf>
    <xf numFmtId="0" fontId="17" fillId="0" borderId="0" xfId="1" applyFont="1" applyAlignment="1" applyProtection="1">
      <alignment horizontal="left" vertical="center"/>
      <protection locked="0"/>
    </xf>
    <xf numFmtId="176" fontId="20" fillId="0" borderId="0" xfId="1" applyNumberFormat="1" applyFont="1" applyAlignment="1" applyProtection="1">
      <alignment horizontal="right" vertical="center" shrinkToFit="1"/>
      <protection locked="0"/>
    </xf>
    <xf numFmtId="0" fontId="20" fillId="0" borderId="0" xfId="1" applyFont="1" applyAlignment="1" applyProtection="1">
      <alignment horizontal="left" vertical="center" wrapText="1"/>
      <protection locked="0"/>
    </xf>
    <xf numFmtId="176" fontId="17" fillId="0" borderId="0" xfId="1" applyNumberFormat="1" applyFont="1" applyAlignment="1" applyProtection="1">
      <alignment vertical="center" shrinkToFit="1"/>
      <protection locked="0"/>
    </xf>
    <xf numFmtId="0" fontId="17" fillId="0" borderId="21" xfId="1" applyFont="1" applyBorder="1" applyAlignment="1" applyProtection="1">
      <alignment horizontal="center" vertical="center"/>
      <protection locked="0"/>
    </xf>
    <xf numFmtId="0" fontId="17" fillId="0" borderId="21" xfId="1" applyFont="1" applyBorder="1" applyAlignment="1" applyProtection="1">
      <alignment horizontal="center" vertical="center" wrapText="1"/>
      <protection locked="0"/>
    </xf>
    <xf numFmtId="0" fontId="2" fillId="0" borderId="0" xfId="1" applyFont="1" applyAlignment="1" applyProtection="1">
      <alignment vertical="top" wrapText="1"/>
      <protection locked="0"/>
    </xf>
    <xf numFmtId="49" fontId="17" fillId="0" borderId="60" xfId="1" applyNumberFormat="1" applyFont="1" applyBorder="1" applyAlignment="1" applyProtection="1">
      <alignment horizontal="center" vertical="center" wrapText="1" shrinkToFit="1"/>
      <protection locked="0"/>
    </xf>
    <xf numFmtId="49" fontId="17" fillId="0" borderId="10" xfId="1" applyNumberFormat="1" applyFont="1" applyBorder="1" applyAlignment="1" applyProtection="1">
      <alignment horizontal="center" vertical="center" wrapText="1" shrinkToFit="1"/>
      <protection locked="0"/>
    </xf>
    <xf numFmtId="0" fontId="14" fillId="0" borderId="0" xfId="1" applyFont="1" applyAlignment="1" applyProtection="1">
      <alignment vertical="top" wrapText="1"/>
      <protection locked="0"/>
    </xf>
    <xf numFmtId="0" fontId="9" fillId="0" borderId="0" xfId="1" applyFont="1" applyAlignment="1" applyProtection="1">
      <alignment vertical="top" wrapText="1"/>
      <protection locked="0"/>
    </xf>
    <xf numFmtId="0" fontId="18" fillId="0" borderId="0" xfId="1" applyFont="1" applyAlignment="1" applyProtection="1">
      <alignment horizontal="left" vertical="center"/>
      <protection locked="0"/>
    </xf>
    <xf numFmtId="0" fontId="18" fillId="0" borderId="0" xfId="1" applyFont="1" applyProtection="1">
      <alignment vertical="center"/>
      <protection locked="0"/>
    </xf>
    <xf numFmtId="0" fontId="2" fillId="0" borderId="0" xfId="1" applyFont="1" applyProtection="1">
      <alignment vertical="center"/>
      <protection locked="0"/>
    </xf>
    <xf numFmtId="0" fontId="4" fillId="0" borderId="0" xfId="1" applyFont="1" applyProtection="1">
      <alignment vertical="center"/>
      <protection locked="0"/>
    </xf>
    <xf numFmtId="0" fontId="20" fillId="0" borderId="0" xfId="1" applyFont="1" applyProtection="1">
      <alignment vertical="center"/>
      <protection locked="0"/>
    </xf>
    <xf numFmtId="0" fontId="17" fillId="0" borderId="57" xfId="1" applyFont="1" applyBorder="1" applyProtection="1">
      <alignment vertical="center"/>
      <protection locked="0"/>
    </xf>
    <xf numFmtId="14" fontId="9" fillId="0" borderId="0" xfId="1" applyNumberFormat="1" applyFont="1" applyProtection="1">
      <alignment vertical="center"/>
      <protection locked="0"/>
    </xf>
    <xf numFmtId="0" fontId="28" fillId="0" borderId="0" xfId="1" applyFont="1" applyProtection="1">
      <alignment vertical="center"/>
      <protection locked="0"/>
    </xf>
    <xf numFmtId="0" fontId="18" fillId="0" borderId="0" xfId="1" applyFont="1" applyAlignment="1" applyProtection="1">
      <alignment horizontal="right" vertical="center"/>
      <protection locked="0"/>
    </xf>
    <xf numFmtId="0" fontId="28" fillId="0" borderId="0" xfId="1" applyFont="1" applyAlignment="1" applyProtection="1">
      <alignment horizontal="right" vertical="center"/>
      <protection locked="0"/>
    </xf>
    <xf numFmtId="0" fontId="28" fillId="0" borderId="0" xfId="1" applyFont="1" applyAlignment="1" applyProtection="1">
      <alignment horizontal="left" vertical="center"/>
      <protection locked="0"/>
    </xf>
    <xf numFmtId="14" fontId="2" fillId="0" borderId="0" xfId="1" applyNumberFormat="1" applyFont="1" applyProtection="1">
      <alignment vertical="center"/>
      <protection locked="0"/>
    </xf>
    <xf numFmtId="0" fontId="18" fillId="0" borderId="0" xfId="1" applyFont="1" applyAlignment="1" applyProtection="1">
      <alignment horizontal="center" vertical="center"/>
      <protection locked="0"/>
    </xf>
    <xf numFmtId="0" fontId="31" fillId="0" borderId="0" xfId="3" applyFont="1" applyAlignment="1" applyProtection="1">
      <alignment vertical="center"/>
      <protection locked="0"/>
    </xf>
    <xf numFmtId="0" fontId="18" fillId="0" borderId="0" xfId="3" applyFont="1" applyAlignment="1" applyProtection="1">
      <alignment vertical="center"/>
      <protection locked="0"/>
    </xf>
    <xf numFmtId="0" fontId="2" fillId="0" borderId="0" xfId="3" applyFont="1" applyAlignment="1" applyProtection="1">
      <alignment vertical="center"/>
      <protection locked="0"/>
    </xf>
    <xf numFmtId="0" fontId="21" fillId="0" borderId="0" xfId="3" applyFont="1" applyAlignment="1" applyProtection="1">
      <alignment horizontal="center" vertical="center"/>
      <protection locked="0"/>
    </xf>
    <xf numFmtId="49" fontId="17" fillId="0" borderId="13" xfId="3" applyNumberFormat="1" applyFont="1" applyBorder="1" applyAlignment="1" applyProtection="1">
      <alignment vertical="center"/>
      <protection locked="0"/>
    </xf>
    <xf numFmtId="0" fontId="17" fillId="0" borderId="11" xfId="3" applyFont="1" applyBorder="1" applyAlignment="1" applyProtection="1">
      <alignment horizontal="center" vertical="center" wrapText="1"/>
      <protection locked="0"/>
    </xf>
    <xf numFmtId="0" fontId="17" fillId="0" borderId="10" xfId="1" applyFont="1" applyBorder="1" applyAlignment="1" applyProtection="1">
      <alignment horizontal="center" vertical="center"/>
      <protection hidden="1"/>
    </xf>
    <xf numFmtId="0" fontId="32" fillId="5" borderId="18" xfId="5" applyFont="1" applyFill="1" applyBorder="1" applyAlignment="1" applyProtection="1">
      <alignment vertical="center"/>
      <protection hidden="1"/>
    </xf>
    <xf numFmtId="49" fontId="33" fillId="5" borderId="1" xfId="5" applyNumberFormat="1" applyFont="1" applyFill="1" applyBorder="1" applyAlignment="1" applyProtection="1">
      <alignment vertical="center"/>
      <protection hidden="1"/>
    </xf>
    <xf numFmtId="49" fontId="33" fillId="5" borderId="17" xfId="5" applyNumberFormat="1" applyFont="1" applyFill="1" applyBorder="1" applyAlignment="1" applyProtection="1">
      <alignment vertical="center"/>
      <protection hidden="1"/>
    </xf>
    <xf numFmtId="49" fontId="33" fillId="0" borderId="0" xfId="5" applyNumberFormat="1" applyFont="1" applyAlignment="1" applyProtection="1">
      <alignment vertical="center"/>
      <protection hidden="1"/>
    </xf>
    <xf numFmtId="0" fontId="32" fillId="0" borderId="0" xfId="5" applyFont="1" applyAlignment="1" applyProtection="1">
      <alignment vertical="center"/>
      <protection hidden="1"/>
    </xf>
    <xf numFmtId="0" fontId="32" fillId="0" borderId="84" xfId="5" applyFont="1" applyBorder="1" applyAlignment="1" applyProtection="1">
      <alignment vertical="center"/>
      <protection hidden="1"/>
    </xf>
    <xf numFmtId="0" fontId="32" fillId="5" borderId="16" xfId="5" applyFont="1" applyFill="1" applyBorder="1" applyAlignment="1" applyProtection="1">
      <alignment vertical="center"/>
      <protection hidden="1"/>
    </xf>
    <xf numFmtId="49" fontId="33" fillId="5" borderId="0" xfId="5" applyNumberFormat="1" applyFont="1" applyFill="1" applyAlignment="1" applyProtection="1">
      <alignment vertical="center"/>
      <protection hidden="1"/>
    </xf>
    <xf numFmtId="0" fontId="32" fillId="5" borderId="0" xfId="5" applyFont="1" applyFill="1" applyAlignment="1" applyProtection="1">
      <alignment vertical="center"/>
      <protection hidden="1"/>
    </xf>
    <xf numFmtId="0" fontId="32" fillId="5" borderId="15" xfId="5" applyFont="1" applyFill="1" applyBorder="1" applyAlignment="1" applyProtection="1">
      <alignment vertical="center"/>
      <protection hidden="1"/>
    </xf>
    <xf numFmtId="0" fontId="32" fillId="0" borderId="85" xfId="5" applyFont="1" applyBorder="1" applyAlignment="1" applyProtection="1">
      <alignment vertical="center"/>
      <protection hidden="1"/>
    </xf>
    <xf numFmtId="0" fontId="32" fillId="0" borderId="86" xfId="5" applyFont="1" applyBorder="1" applyAlignment="1" applyProtection="1">
      <alignment vertical="center"/>
      <protection hidden="1"/>
    </xf>
    <xf numFmtId="0" fontId="32" fillId="0" borderId="0" xfId="0" applyFont="1" applyProtection="1">
      <alignment vertical="center"/>
      <protection hidden="1"/>
    </xf>
    <xf numFmtId="181" fontId="32" fillId="0" borderId="0" xfId="5" applyNumberFormat="1" applyFont="1" applyAlignment="1" applyProtection="1">
      <alignment vertical="center"/>
      <protection hidden="1"/>
    </xf>
    <xf numFmtId="0" fontId="32" fillId="0" borderId="85" xfId="5" quotePrefix="1" applyFont="1" applyBorder="1" applyAlignment="1" applyProtection="1">
      <alignment vertical="center"/>
      <protection hidden="1"/>
    </xf>
    <xf numFmtId="0" fontId="32" fillId="5" borderId="1" xfId="5" applyFont="1" applyFill="1" applyBorder="1" applyAlignment="1" applyProtection="1">
      <alignment vertical="center"/>
      <protection hidden="1"/>
    </xf>
    <xf numFmtId="181" fontId="32" fillId="5" borderId="1" xfId="5" applyNumberFormat="1" applyFont="1" applyFill="1" applyBorder="1" applyAlignment="1" applyProtection="1">
      <alignment vertical="center"/>
      <protection hidden="1"/>
    </xf>
    <xf numFmtId="0" fontId="32" fillId="5" borderId="17" xfId="5" applyFont="1" applyFill="1" applyBorder="1" applyAlignment="1" applyProtection="1">
      <alignment vertical="center"/>
      <protection hidden="1"/>
    </xf>
    <xf numFmtId="181" fontId="32" fillId="5" borderId="0" xfId="5" applyNumberFormat="1" applyFont="1" applyFill="1" applyAlignment="1" applyProtection="1">
      <alignment vertical="center"/>
      <protection hidden="1"/>
    </xf>
    <xf numFmtId="0" fontId="17" fillId="0" borderId="0" xfId="1" applyFont="1" applyAlignment="1" applyProtection="1">
      <alignment horizontal="right" vertical="center"/>
      <protection hidden="1"/>
    </xf>
    <xf numFmtId="180" fontId="17" fillId="0" borderId="0" xfId="1" applyNumberFormat="1" applyFont="1" applyAlignment="1" applyProtection="1">
      <alignment horizontal="left" vertical="center"/>
      <protection hidden="1"/>
    </xf>
    <xf numFmtId="49" fontId="17" fillId="0" borderId="0" xfId="3" applyNumberFormat="1" applyFont="1" applyAlignment="1" applyProtection="1">
      <alignment vertical="center" wrapText="1"/>
      <protection hidden="1"/>
    </xf>
    <xf numFmtId="49" fontId="17" fillId="0" borderId="57" xfId="1" applyNumberFormat="1" applyFont="1" applyBorder="1" applyAlignment="1" applyProtection="1">
      <alignment horizontal="left" vertical="center" shrinkToFit="1"/>
      <protection locked="0"/>
    </xf>
    <xf numFmtId="0" fontId="17" fillId="0" borderId="11" xfId="1" applyFont="1" applyBorder="1" applyAlignment="1" applyProtection="1">
      <alignment horizontal="center" vertical="center"/>
      <protection locked="0"/>
    </xf>
    <xf numFmtId="0" fontId="17" fillId="0" borderId="47" xfId="1" applyFont="1" applyBorder="1" applyAlignment="1" applyProtection="1">
      <alignment horizontal="center" vertical="center" wrapText="1"/>
      <protection locked="0"/>
    </xf>
    <xf numFmtId="49" fontId="17" fillId="0" borderId="10" xfId="1" applyNumberFormat="1" applyFont="1" applyBorder="1" applyAlignment="1" applyProtection="1">
      <alignment vertical="center" wrapText="1"/>
      <protection locked="0"/>
    </xf>
    <xf numFmtId="0" fontId="17" fillId="0" borderId="5" xfId="1" applyFont="1" applyBorder="1" applyAlignment="1" applyProtection="1">
      <alignment horizontal="center" vertical="center" wrapText="1"/>
      <protection locked="0"/>
    </xf>
    <xf numFmtId="181" fontId="17" fillId="0" borderId="9" xfId="2" applyNumberFormat="1" applyFont="1" applyFill="1" applyBorder="1" applyAlignment="1" applyProtection="1">
      <alignment horizontal="right" vertical="center" wrapText="1" shrinkToFit="1"/>
      <protection locked="0"/>
    </xf>
    <xf numFmtId="0" fontId="17" fillId="0" borderId="4" xfId="1" applyFont="1" applyBorder="1" applyAlignment="1" applyProtection="1">
      <alignment horizontal="center" vertical="center"/>
      <protection locked="0"/>
    </xf>
    <xf numFmtId="49" fontId="17" fillId="0" borderId="3" xfId="1" applyNumberFormat="1" applyFont="1" applyBorder="1" applyAlignment="1" applyProtection="1">
      <alignment vertical="center" wrapText="1"/>
      <protection locked="0"/>
    </xf>
    <xf numFmtId="49" fontId="17" fillId="0" borderId="3" xfId="1" applyNumberFormat="1" applyFont="1" applyBorder="1" applyAlignment="1" applyProtection="1">
      <alignment horizontal="center" vertical="center" wrapText="1" shrinkToFit="1"/>
      <protection locked="0"/>
    </xf>
    <xf numFmtId="181" fontId="17" fillId="0" borderId="2" xfId="2" applyNumberFormat="1" applyFont="1" applyFill="1" applyBorder="1" applyAlignment="1" applyProtection="1">
      <alignment horizontal="right" vertical="center" wrapText="1" shrinkToFit="1"/>
      <protection locked="0"/>
    </xf>
    <xf numFmtId="0" fontId="9" fillId="0" borderId="1" xfId="1" applyFont="1" applyBorder="1" applyAlignment="1" applyProtection="1">
      <alignment horizontal="center" vertical="center" wrapText="1"/>
      <protection locked="0"/>
    </xf>
    <xf numFmtId="0" fontId="32" fillId="0" borderId="0" xfId="0" applyFont="1">
      <alignment vertical="center"/>
    </xf>
    <xf numFmtId="0" fontId="17" fillId="0" borderId="42" xfId="1" applyFont="1" applyBorder="1" applyAlignment="1" applyProtection="1">
      <alignment horizontal="center" vertical="center" wrapText="1"/>
      <protection locked="0"/>
    </xf>
    <xf numFmtId="49" fontId="17" fillId="0" borderId="24" xfId="1" applyNumberFormat="1" applyFont="1" applyBorder="1" applyAlignment="1" applyProtection="1">
      <alignment horizontal="center" vertical="center" wrapText="1" shrinkToFit="1"/>
      <protection locked="0"/>
    </xf>
    <xf numFmtId="49" fontId="17" fillId="0" borderId="31" xfId="1" applyNumberFormat="1" applyFont="1" applyBorder="1" applyAlignment="1" applyProtection="1">
      <alignment horizontal="center" vertical="center" wrapText="1" shrinkToFit="1"/>
      <protection locked="0"/>
    </xf>
    <xf numFmtId="0" fontId="2" fillId="0" borderId="0" xfId="1" applyFont="1" applyAlignment="1" applyProtection="1">
      <alignment horizontal="left" vertical="center"/>
      <protection locked="0"/>
    </xf>
    <xf numFmtId="0" fontId="42" fillId="0" borderId="0" xfId="1" applyFont="1" applyAlignment="1" applyProtection="1">
      <alignment horizontal="center" vertical="center"/>
      <protection locked="0"/>
    </xf>
    <xf numFmtId="0" fontId="43" fillId="0" borderId="0" xfId="1" applyFont="1" applyAlignment="1" applyProtection="1">
      <alignment horizontal="center" vertical="center"/>
      <protection locked="0"/>
    </xf>
    <xf numFmtId="0" fontId="41" fillId="0" borderId="48" xfId="1" applyFont="1" applyBorder="1" applyAlignment="1" applyProtection="1">
      <alignment vertical="center" wrapText="1"/>
      <protection hidden="1"/>
    </xf>
    <xf numFmtId="0" fontId="35" fillId="0" borderId="0" xfId="0" applyFont="1" applyProtection="1">
      <alignment vertical="center"/>
      <protection hidden="1"/>
    </xf>
    <xf numFmtId="0" fontId="35" fillId="0" borderId="0" xfId="0" applyFont="1" applyAlignment="1" applyProtection="1">
      <alignment vertical="center" wrapText="1"/>
      <protection hidden="1"/>
    </xf>
    <xf numFmtId="0" fontId="37" fillId="0" borderId="0" xfId="0" applyFont="1" applyAlignment="1" applyProtection="1">
      <alignment horizontal="center" vertical="center"/>
      <protection hidden="1"/>
    </xf>
    <xf numFmtId="0" fontId="36" fillId="0" borderId="0" xfId="0" applyFont="1" applyProtection="1">
      <alignment vertical="center"/>
      <protection hidden="1"/>
    </xf>
    <xf numFmtId="0" fontId="35" fillId="0" borderId="0" xfId="0" applyFont="1" applyAlignment="1" applyProtection="1">
      <alignment horizontal="center" vertical="center"/>
      <protection hidden="1"/>
    </xf>
    <xf numFmtId="0" fontId="20" fillId="0" borderId="0" xfId="0" applyFont="1" applyProtection="1">
      <alignment vertical="center"/>
      <protection hidden="1"/>
    </xf>
    <xf numFmtId="0" fontId="37" fillId="0" borderId="0" xfId="0" applyFont="1" applyProtection="1">
      <alignment vertical="center"/>
      <protection hidden="1"/>
    </xf>
    <xf numFmtId="0" fontId="32" fillId="5" borderId="0" xfId="0" applyFont="1" applyFill="1" applyAlignment="1" applyProtection="1">
      <protection hidden="1"/>
    </xf>
    <xf numFmtId="0" fontId="18" fillId="5" borderId="0" xfId="4" applyFont="1" applyFill="1" applyAlignment="1" applyProtection="1">
      <alignment horizontal="left" vertical="center"/>
      <protection hidden="1"/>
    </xf>
    <xf numFmtId="0" fontId="18" fillId="5" borderId="85" xfId="5" applyFont="1" applyFill="1" applyBorder="1" applyAlignment="1" applyProtection="1">
      <alignment vertical="center"/>
      <protection hidden="1"/>
    </xf>
    <xf numFmtId="0" fontId="18" fillId="0" borderId="85" xfId="5" applyFont="1" applyBorder="1" applyAlignment="1" applyProtection="1">
      <alignment vertical="center"/>
      <protection hidden="1"/>
    </xf>
    <xf numFmtId="0" fontId="18" fillId="0" borderId="86" xfId="5" applyFont="1" applyBorder="1" applyAlignment="1" applyProtection="1">
      <alignment vertical="center"/>
      <protection hidden="1"/>
    </xf>
    <xf numFmtId="176" fontId="17" fillId="0" borderId="13" xfId="1" applyNumberFormat="1" applyFont="1" applyBorder="1" applyAlignment="1" applyProtection="1">
      <alignment horizontal="left" vertical="center"/>
      <protection hidden="1"/>
    </xf>
    <xf numFmtId="0" fontId="17" fillId="0" borderId="24" xfId="1" applyFont="1" applyBorder="1" applyAlignment="1" applyProtection="1">
      <alignment horizontal="center" vertical="center"/>
      <protection hidden="1"/>
    </xf>
    <xf numFmtId="0" fontId="17" fillId="0" borderId="10" xfId="3" applyFont="1" applyBorder="1" applyAlignment="1" applyProtection="1">
      <alignment horizontal="center" vertical="center"/>
      <protection hidden="1"/>
    </xf>
    <xf numFmtId="176" fontId="17" fillId="0" borderId="0" xfId="1" applyNumberFormat="1" applyFont="1" applyAlignment="1" applyProtection="1">
      <alignment horizontal="left" vertical="center"/>
      <protection hidden="1"/>
    </xf>
    <xf numFmtId="0" fontId="17" fillId="0" borderId="38" xfId="1" applyFont="1" applyBorder="1" applyAlignment="1" applyProtection="1">
      <alignment horizontal="center" vertical="center"/>
      <protection hidden="1"/>
    </xf>
    <xf numFmtId="0" fontId="17" fillId="0" borderId="63" xfId="1" applyFont="1" applyBorder="1" applyAlignment="1" applyProtection="1">
      <alignment horizontal="center" vertical="center"/>
      <protection locked="0"/>
    </xf>
    <xf numFmtId="49" fontId="17" fillId="0" borderId="67" xfId="1" applyNumberFormat="1" applyFont="1" applyBorder="1" applyAlignment="1" applyProtection="1">
      <alignment horizontal="center" vertical="center" wrapText="1"/>
      <protection locked="0"/>
    </xf>
    <xf numFmtId="49" fontId="17" fillId="0" borderId="68" xfId="1" applyNumberFormat="1" applyFont="1" applyBorder="1" applyAlignment="1" applyProtection="1">
      <alignment horizontal="center" vertical="center" wrapText="1"/>
      <protection locked="0"/>
    </xf>
    <xf numFmtId="49" fontId="17" fillId="0" borderId="69" xfId="1" applyNumberFormat="1" applyFont="1" applyBorder="1" applyAlignment="1" applyProtection="1">
      <alignment horizontal="center" vertical="center" wrapText="1"/>
      <protection locked="0"/>
    </xf>
    <xf numFmtId="49" fontId="17" fillId="0" borderId="0" xfId="1" applyNumberFormat="1" applyFont="1" applyAlignment="1" applyProtection="1">
      <alignment vertical="center" wrapText="1"/>
      <protection locked="0"/>
    </xf>
    <xf numFmtId="49" fontId="17" fillId="0" borderId="57" xfId="1" applyNumberFormat="1" applyFont="1" applyBorder="1" applyAlignment="1" applyProtection="1">
      <alignment horizontal="center" vertical="center" shrinkToFit="1"/>
      <protection locked="0"/>
    </xf>
    <xf numFmtId="0" fontId="17" fillId="0" borderId="0" xfId="1" applyFont="1" applyAlignment="1" applyProtection="1">
      <alignment horizontal="center" vertical="center"/>
      <protection hidden="1"/>
    </xf>
    <xf numFmtId="179" fontId="17" fillId="0" borderId="57" xfId="1" applyNumberFormat="1" applyFont="1" applyBorder="1" applyAlignment="1" applyProtection="1">
      <alignment horizontal="center" vertical="center" shrinkToFit="1"/>
      <protection locked="0"/>
    </xf>
    <xf numFmtId="0" fontId="17" fillId="0" borderId="72" xfId="1" applyFont="1" applyBorder="1" applyAlignment="1" applyProtection="1">
      <alignment horizontal="center" vertical="center"/>
      <protection hidden="1"/>
    </xf>
    <xf numFmtId="0" fontId="17" fillId="0" borderId="87" xfId="1" applyFont="1" applyBorder="1" applyAlignment="1" applyProtection="1">
      <alignment horizontal="center" vertical="center"/>
      <protection hidden="1"/>
    </xf>
    <xf numFmtId="0" fontId="17" fillId="0" borderId="23" xfId="1" applyFont="1" applyBorder="1" applyAlignment="1" applyProtection="1">
      <alignment horizontal="center" vertical="center"/>
      <protection hidden="1"/>
    </xf>
    <xf numFmtId="0" fontId="17" fillId="0" borderId="102" xfId="1" applyFont="1" applyBorder="1" applyAlignment="1" applyProtection="1">
      <alignment horizontal="center" vertical="center"/>
      <protection hidden="1"/>
    </xf>
    <xf numFmtId="49" fontId="17" fillId="0" borderId="73" xfId="1" applyNumberFormat="1" applyFont="1" applyBorder="1" applyAlignment="1" applyProtection="1">
      <alignment horizontal="center" vertical="center" wrapText="1"/>
      <protection locked="0"/>
    </xf>
    <xf numFmtId="49" fontId="17" fillId="0" borderId="74" xfId="1" applyNumberFormat="1" applyFont="1" applyBorder="1" applyAlignment="1" applyProtection="1">
      <alignment horizontal="center" vertical="center" wrapText="1"/>
      <protection locked="0"/>
    </xf>
    <xf numFmtId="49" fontId="17" fillId="0" borderId="76" xfId="1" applyNumberFormat="1" applyFont="1" applyBorder="1" applyAlignment="1" applyProtection="1">
      <alignment horizontal="center" vertical="center" wrapText="1"/>
      <protection locked="0"/>
    </xf>
    <xf numFmtId="0" fontId="17" fillId="0" borderId="68" xfId="1" applyFont="1" applyBorder="1" applyAlignment="1" applyProtection="1">
      <alignment horizontal="center" vertical="center" wrapText="1"/>
      <protection hidden="1"/>
    </xf>
    <xf numFmtId="180" fontId="20" fillId="0" borderId="0" xfId="1" applyNumberFormat="1" applyFont="1" applyProtection="1">
      <alignment vertical="center"/>
      <protection locked="0"/>
    </xf>
    <xf numFmtId="0" fontId="17" fillId="0" borderId="10" xfId="1" applyFont="1" applyBorder="1" applyAlignment="1" applyProtection="1">
      <alignment horizontal="center" vertical="center" wrapText="1"/>
      <protection hidden="1"/>
    </xf>
    <xf numFmtId="0" fontId="17" fillId="0" borderId="103" xfId="1" applyFont="1" applyBorder="1" applyAlignment="1" applyProtection="1">
      <alignment horizontal="center" vertical="center"/>
      <protection locked="0"/>
    </xf>
    <xf numFmtId="49" fontId="17" fillId="0" borderId="0" xfId="3" applyNumberFormat="1" applyFont="1" applyAlignment="1" applyProtection="1">
      <alignment vertical="center"/>
      <protection hidden="1"/>
    </xf>
    <xf numFmtId="49" fontId="17" fillId="0" borderId="10" xfId="3" applyNumberFormat="1" applyFont="1" applyBorder="1" applyAlignment="1" applyProtection="1">
      <alignment horizontal="center" vertical="center" wrapText="1"/>
      <protection hidden="1"/>
    </xf>
    <xf numFmtId="0" fontId="17" fillId="0" borderId="72" xfId="3" applyFont="1" applyBorder="1" applyAlignment="1" applyProtection="1">
      <alignment horizontal="center" vertical="center"/>
      <protection hidden="1"/>
    </xf>
    <xf numFmtId="177" fontId="17" fillId="0" borderId="60" xfId="2" applyNumberFormat="1" applyFont="1" applyBorder="1" applyAlignment="1" applyProtection="1">
      <alignment horizontal="center" vertical="center" wrapText="1"/>
      <protection locked="0"/>
    </xf>
    <xf numFmtId="0" fontId="17" fillId="0" borderId="61" xfId="1" applyFont="1" applyBorder="1" applyAlignment="1" applyProtection="1">
      <alignment horizontal="center" vertical="center"/>
      <protection locked="0"/>
    </xf>
    <xf numFmtId="177" fontId="17" fillId="0" borderId="10" xfId="2" applyNumberFormat="1" applyFont="1" applyBorder="1" applyAlignment="1" applyProtection="1">
      <alignment horizontal="center" vertical="center" wrapText="1"/>
      <protection locked="0"/>
    </xf>
    <xf numFmtId="177" fontId="17" fillId="0" borderId="65" xfId="2" applyNumberFormat="1" applyFont="1" applyBorder="1" applyAlignment="1" applyProtection="1">
      <alignment horizontal="center" vertical="center" wrapText="1"/>
      <protection locked="0"/>
    </xf>
    <xf numFmtId="0" fontId="17" fillId="0" borderId="66" xfId="1" applyFont="1" applyBorder="1" applyAlignment="1" applyProtection="1">
      <alignment horizontal="center" vertical="center"/>
      <protection locked="0"/>
    </xf>
    <xf numFmtId="0" fontId="17" fillId="0" borderId="24" xfId="3" applyFont="1" applyBorder="1" applyAlignment="1" applyProtection="1">
      <alignment horizontal="center" vertical="center" wrapText="1"/>
      <protection hidden="1"/>
    </xf>
    <xf numFmtId="0" fontId="17" fillId="0" borderId="7" xfId="1" applyFont="1" applyBorder="1" applyAlignment="1" applyProtection="1">
      <alignment horizontal="center" vertical="center" wrapText="1"/>
      <protection hidden="1"/>
    </xf>
    <xf numFmtId="0" fontId="17" fillId="0" borderId="21" xfId="1" applyFont="1" applyBorder="1" applyAlignment="1" applyProtection="1">
      <alignment horizontal="center" vertical="center"/>
      <protection hidden="1"/>
    </xf>
    <xf numFmtId="0" fontId="17" fillId="0" borderId="96" xfId="1" applyFont="1" applyBorder="1" applyAlignment="1" applyProtection="1">
      <alignment horizontal="center" vertical="center" wrapText="1"/>
      <protection hidden="1"/>
    </xf>
    <xf numFmtId="0" fontId="17" fillId="0" borderId="42" xfId="1" applyFont="1" applyBorder="1" applyAlignment="1" applyProtection="1">
      <alignment horizontal="center" vertical="center"/>
      <protection hidden="1"/>
    </xf>
    <xf numFmtId="0" fontId="17" fillId="0" borderId="6" xfId="1" applyFont="1" applyBorder="1" applyAlignment="1" applyProtection="1">
      <alignment horizontal="center" vertical="center" wrapText="1"/>
      <protection hidden="1"/>
    </xf>
    <xf numFmtId="0" fontId="17" fillId="0" borderId="21" xfId="1" applyFont="1" applyBorder="1" applyAlignment="1" applyProtection="1">
      <alignment horizontal="center" vertical="center" wrapText="1"/>
      <protection hidden="1"/>
    </xf>
    <xf numFmtId="176" fontId="17" fillId="0" borderId="68" xfId="1" applyNumberFormat="1" applyFont="1" applyBorder="1" applyAlignment="1" applyProtection="1">
      <alignment horizontal="center" vertical="center" wrapText="1"/>
      <protection hidden="1"/>
    </xf>
    <xf numFmtId="0" fontId="9" fillId="0" borderId="41" xfId="1" applyFont="1" applyBorder="1" applyAlignment="1" applyProtection="1">
      <alignment horizontal="center" vertical="center" wrapText="1"/>
      <protection hidden="1"/>
    </xf>
    <xf numFmtId="0" fontId="17" fillId="0" borderId="37" xfId="1" applyFont="1" applyBorder="1" applyAlignment="1" applyProtection="1">
      <alignment horizontal="center" vertical="center"/>
      <protection hidden="1"/>
    </xf>
    <xf numFmtId="0" fontId="9" fillId="0" borderId="3" xfId="1" applyFont="1" applyBorder="1" applyAlignment="1" applyProtection="1">
      <alignment vertical="center" wrapText="1"/>
      <protection hidden="1"/>
    </xf>
    <xf numFmtId="0" fontId="9" fillId="0" borderId="28" xfId="1" applyFont="1" applyBorder="1" applyAlignment="1" applyProtection="1">
      <alignment vertical="center" wrapText="1"/>
      <protection hidden="1"/>
    </xf>
    <xf numFmtId="0" fontId="18" fillId="0" borderId="0" xfId="1" applyFont="1" applyProtection="1">
      <alignment vertical="center"/>
      <protection hidden="1"/>
    </xf>
    <xf numFmtId="0" fontId="9" fillId="0" borderId="0" xfId="1" applyFont="1" applyProtection="1">
      <alignment vertical="center"/>
      <protection hidden="1"/>
    </xf>
    <xf numFmtId="0" fontId="15" fillId="0" borderId="0" xfId="1" applyFont="1" applyProtection="1">
      <alignment vertical="center"/>
      <protection hidden="1"/>
    </xf>
    <xf numFmtId="0" fontId="16" fillId="0" borderId="0" xfId="1" applyFont="1" applyAlignment="1" applyProtection="1">
      <alignment horizontal="center" vertical="center"/>
      <protection hidden="1"/>
    </xf>
    <xf numFmtId="0" fontId="11" fillId="0" borderId="0" xfId="1" applyFont="1" applyAlignment="1" applyProtection="1">
      <alignment horizontal="right" vertical="center"/>
      <protection hidden="1"/>
    </xf>
    <xf numFmtId="0" fontId="11" fillId="0" borderId="0" xfId="1" applyFont="1" applyProtection="1">
      <alignment vertical="center"/>
      <protection hidden="1"/>
    </xf>
    <xf numFmtId="0" fontId="9" fillId="0" borderId="3" xfId="1" applyFont="1" applyBorder="1" applyProtection="1">
      <alignment vertical="center"/>
      <protection hidden="1"/>
    </xf>
    <xf numFmtId="0" fontId="9" fillId="0" borderId="31" xfId="1" applyFont="1" applyBorder="1" applyProtection="1">
      <alignment vertical="center"/>
      <protection hidden="1"/>
    </xf>
    <xf numFmtId="0" fontId="17" fillId="0" borderId="10" xfId="1" applyFont="1" applyBorder="1" applyAlignment="1" applyProtection="1">
      <alignment horizontal="left" vertical="center" wrapText="1"/>
      <protection hidden="1"/>
    </xf>
    <xf numFmtId="0" fontId="17" fillId="0" borderId="34" xfId="3" applyFont="1" applyBorder="1" applyAlignment="1" applyProtection="1">
      <alignment vertical="center"/>
      <protection hidden="1"/>
    </xf>
    <xf numFmtId="0" fontId="17" fillId="0" borderId="49" xfId="3" applyFont="1" applyBorder="1" applyAlignment="1" applyProtection="1">
      <alignment vertical="center"/>
      <protection hidden="1"/>
    </xf>
    <xf numFmtId="0" fontId="17" fillId="2" borderId="84" xfId="3" applyFont="1" applyFill="1" applyBorder="1" applyAlignment="1" applyProtection="1">
      <alignment horizontal="center" vertical="center" wrapText="1"/>
      <protection hidden="1"/>
    </xf>
    <xf numFmtId="0" fontId="17" fillId="0" borderId="3" xfId="3" applyFont="1" applyBorder="1" applyAlignment="1" applyProtection="1">
      <alignment horizontal="center" vertical="center"/>
      <protection hidden="1"/>
    </xf>
    <xf numFmtId="0" fontId="17" fillId="0" borderId="1" xfId="1" applyFont="1" applyBorder="1" applyAlignment="1" applyProtection="1">
      <alignment horizontal="center" vertical="center" wrapText="1"/>
      <protection hidden="1"/>
    </xf>
    <xf numFmtId="0" fontId="17" fillId="0" borderId="25" xfId="1" applyFont="1" applyBorder="1" applyAlignment="1" applyProtection="1">
      <alignment horizontal="center" vertical="center"/>
      <protection hidden="1"/>
    </xf>
    <xf numFmtId="0" fontId="17" fillId="0" borderId="6" xfId="1" applyFont="1" applyBorder="1" applyAlignment="1" applyProtection="1">
      <alignment horizontal="center" vertical="center"/>
      <protection hidden="1"/>
    </xf>
    <xf numFmtId="0" fontId="17" fillId="0" borderId="71" xfId="1" applyFont="1" applyBorder="1" applyProtection="1">
      <alignment vertical="center"/>
      <protection hidden="1"/>
    </xf>
    <xf numFmtId="178" fontId="17" fillId="0" borderId="79" xfId="3" applyNumberFormat="1" applyFont="1" applyBorder="1" applyAlignment="1" applyProtection="1">
      <alignment vertical="center"/>
      <protection hidden="1"/>
    </xf>
    <xf numFmtId="178" fontId="17" fillId="0" borderId="81" xfId="3" applyNumberFormat="1" applyFont="1" applyBorder="1" applyAlignment="1" applyProtection="1">
      <alignment vertical="center"/>
      <protection hidden="1"/>
    </xf>
    <xf numFmtId="0" fontId="17" fillId="0" borderId="77" xfId="1" applyFont="1" applyBorder="1" applyAlignment="1" applyProtection="1">
      <alignment horizontal="right" vertical="center"/>
      <protection hidden="1"/>
    </xf>
    <xf numFmtId="0" fontId="17" fillId="0" borderId="82" xfId="1" applyFont="1" applyBorder="1" applyAlignment="1" applyProtection="1">
      <alignment horizontal="right" vertical="center"/>
      <protection hidden="1"/>
    </xf>
    <xf numFmtId="0" fontId="17" fillId="0" borderId="10" xfId="1" applyFont="1" applyBorder="1" applyAlignment="1" applyProtection="1">
      <alignment horizontal="center" vertical="top" wrapText="1"/>
      <protection hidden="1"/>
    </xf>
    <xf numFmtId="0" fontId="17" fillId="0" borderId="28" xfId="1" applyFont="1" applyBorder="1" applyProtection="1">
      <alignment vertical="center"/>
      <protection hidden="1"/>
    </xf>
    <xf numFmtId="0" fontId="17" fillId="0" borderId="3" xfId="1" applyFont="1" applyBorder="1" applyProtection="1">
      <alignment vertical="center"/>
      <protection hidden="1"/>
    </xf>
    <xf numFmtId="0" fontId="17" fillId="0" borderId="54" xfId="1" applyFont="1" applyBorder="1" applyAlignment="1" applyProtection="1">
      <alignment horizontal="center" vertical="center" wrapText="1"/>
      <protection hidden="1"/>
    </xf>
    <xf numFmtId="0" fontId="17" fillId="0" borderId="38" xfId="1" applyFont="1" applyBorder="1" applyAlignment="1" applyProtection="1">
      <alignment horizontal="center" vertical="center" wrapText="1"/>
      <protection hidden="1"/>
    </xf>
    <xf numFmtId="0" fontId="14" fillId="0" borderId="0" xfId="1" applyFont="1" applyAlignment="1" applyProtection="1">
      <alignment vertical="top"/>
      <protection locked="0"/>
    </xf>
    <xf numFmtId="183" fontId="14" fillId="0" borderId="0" xfId="1" applyNumberFormat="1" applyFont="1" applyAlignment="1" applyProtection="1">
      <alignment vertical="top"/>
      <protection locked="0"/>
    </xf>
    <xf numFmtId="0" fontId="9" fillId="0" borderId="0" xfId="1" applyFont="1" applyAlignment="1" applyProtection="1">
      <alignment horizontal="center" vertical="center" wrapText="1"/>
      <protection locked="0"/>
    </xf>
    <xf numFmtId="49" fontId="17" fillId="0" borderId="65" xfId="1" applyNumberFormat="1" applyFont="1" applyBorder="1" applyAlignment="1" applyProtection="1">
      <alignment horizontal="center" vertical="center" wrapText="1" shrinkToFit="1"/>
      <protection locked="0"/>
    </xf>
    <xf numFmtId="0" fontId="47" fillId="0" borderId="0" xfId="1" applyFont="1" applyAlignment="1" applyProtection="1">
      <alignment horizontal="center" vertical="center"/>
      <protection locked="0"/>
    </xf>
    <xf numFmtId="0" fontId="48" fillId="0" borderId="0" xfId="1" applyFont="1" applyAlignment="1" applyProtection="1">
      <alignment horizontal="center" vertical="center"/>
      <protection locked="0"/>
    </xf>
    <xf numFmtId="0" fontId="51" fillId="0" borderId="0" xfId="1" applyFont="1" applyProtection="1">
      <alignment vertical="center"/>
      <protection locked="0"/>
    </xf>
    <xf numFmtId="0" fontId="52" fillId="0" borderId="0" xfId="1" applyFont="1" applyProtection="1">
      <alignment vertical="center"/>
      <protection locked="0"/>
    </xf>
    <xf numFmtId="0" fontId="17" fillId="0" borderId="15" xfId="1" applyFont="1" applyBorder="1" applyAlignment="1" applyProtection="1">
      <alignment horizontal="left" vertical="center" wrapText="1"/>
      <protection hidden="1"/>
    </xf>
    <xf numFmtId="0" fontId="35" fillId="0" borderId="0" xfId="0" applyFont="1">
      <alignment vertical="center"/>
    </xf>
    <xf numFmtId="0" fontId="58" fillId="0" borderId="0" xfId="0" applyFont="1">
      <alignment vertical="center"/>
    </xf>
    <xf numFmtId="0" fontId="56" fillId="6" borderId="87" xfId="0" applyFont="1" applyFill="1" applyBorder="1" applyAlignment="1">
      <alignment horizontal="center" vertical="center" wrapText="1"/>
    </xf>
    <xf numFmtId="0" fontId="56" fillId="6" borderId="10" xfId="0" applyFont="1" applyFill="1" applyBorder="1" applyAlignment="1">
      <alignment horizontal="center" vertical="center" wrapText="1"/>
    </xf>
    <xf numFmtId="0" fontId="35" fillId="0" borderId="0" xfId="0" applyFont="1" applyAlignment="1">
      <alignment vertical="top"/>
    </xf>
    <xf numFmtId="0" fontId="60" fillId="0" borderId="0" xfId="0" applyFont="1" applyAlignment="1"/>
    <xf numFmtId="0" fontId="63" fillId="3" borderId="48" xfId="0" applyFont="1" applyFill="1" applyBorder="1" applyAlignment="1" applyProtection="1">
      <alignment vertical="top"/>
      <protection hidden="1"/>
    </xf>
    <xf numFmtId="0" fontId="35" fillId="4" borderId="26" xfId="0" applyFont="1" applyFill="1" applyBorder="1" applyProtection="1">
      <alignment vertical="center"/>
      <protection hidden="1"/>
    </xf>
    <xf numFmtId="0" fontId="35" fillId="4" borderId="50" xfId="0" applyFont="1" applyFill="1" applyBorder="1" applyAlignment="1" applyProtection="1">
      <alignment horizontal="left" vertical="top"/>
      <protection hidden="1"/>
    </xf>
    <xf numFmtId="0" fontId="17" fillId="3" borderId="11" xfId="0" applyFont="1" applyFill="1" applyBorder="1" applyAlignment="1" applyProtection="1">
      <alignment vertical="top"/>
      <protection hidden="1"/>
    </xf>
    <xf numFmtId="0" fontId="63" fillId="4" borderId="10" xfId="0" applyFont="1" applyFill="1" applyBorder="1" applyProtection="1">
      <alignment vertical="center"/>
      <protection hidden="1"/>
    </xf>
    <xf numFmtId="0" fontId="35" fillId="4" borderId="9" xfId="0" applyFont="1" applyFill="1" applyBorder="1" applyAlignment="1" applyProtection="1">
      <alignment horizontal="left" vertical="top"/>
      <protection hidden="1"/>
    </xf>
    <xf numFmtId="0" fontId="17" fillId="3" borderId="4" xfId="0" applyFont="1" applyFill="1" applyBorder="1" applyAlignment="1" applyProtection="1">
      <alignment vertical="top"/>
      <protection hidden="1"/>
    </xf>
    <xf numFmtId="0" fontId="63" fillId="4" borderId="3" xfId="0" applyFont="1" applyFill="1" applyBorder="1" applyProtection="1">
      <alignment vertical="center"/>
      <protection hidden="1"/>
    </xf>
    <xf numFmtId="0" fontId="17" fillId="3" borderId="0" xfId="0" applyFont="1" applyFill="1" applyAlignment="1" applyProtection="1">
      <alignment vertical="top"/>
      <protection hidden="1"/>
    </xf>
    <xf numFmtId="0" fontId="63" fillId="4" borderId="0" xfId="0" applyFont="1" applyFill="1" applyProtection="1">
      <alignment vertical="center"/>
      <protection hidden="1"/>
    </xf>
    <xf numFmtId="0" fontId="63" fillId="4" borderId="0" xfId="0" applyFont="1" applyFill="1" applyAlignment="1" applyProtection="1">
      <alignment horizontal="left" vertical="center"/>
      <protection hidden="1"/>
    </xf>
    <xf numFmtId="0" fontId="35" fillId="4" borderId="0" xfId="0" applyFont="1" applyFill="1" applyAlignment="1" applyProtection="1">
      <alignment horizontal="left" vertical="center"/>
      <protection hidden="1"/>
    </xf>
    <xf numFmtId="0" fontId="64" fillId="0" borderId="0" xfId="0" applyFont="1">
      <alignment vertical="center"/>
    </xf>
    <xf numFmtId="0" fontId="56" fillId="6" borderId="51" xfId="0" applyFont="1" applyFill="1" applyBorder="1" applyAlignment="1" applyProtection="1">
      <alignment horizontal="center" vertical="center"/>
      <protection hidden="1"/>
    </xf>
    <xf numFmtId="0" fontId="66" fillId="7" borderId="51" xfId="0" applyFont="1" applyFill="1" applyBorder="1" applyAlignment="1" applyProtection="1">
      <alignment horizontal="center" vertical="center"/>
      <protection hidden="1"/>
    </xf>
    <xf numFmtId="0" fontId="56" fillId="6" borderId="52" xfId="0" applyFont="1" applyFill="1" applyBorder="1" applyAlignment="1" applyProtection="1">
      <alignment horizontal="center" vertical="center"/>
      <protection hidden="1"/>
    </xf>
    <xf numFmtId="0" fontId="67" fillId="0" borderId="0" xfId="1" applyFont="1" applyAlignment="1" applyProtection="1">
      <alignment horizontal="center" vertical="center"/>
      <protection locked="0"/>
    </xf>
    <xf numFmtId="0" fontId="68" fillId="0" borderId="0" xfId="1" applyFont="1" applyAlignment="1" applyProtection="1">
      <alignment horizontal="center" vertical="center"/>
      <protection locked="0"/>
    </xf>
    <xf numFmtId="0" fontId="69" fillId="0" borderId="0" xfId="1" applyFont="1" applyProtection="1">
      <alignment vertical="center"/>
      <protection locked="0"/>
    </xf>
    <xf numFmtId="0" fontId="54" fillId="0" borderId="0" xfId="1" applyFont="1" applyProtection="1">
      <alignment vertical="center"/>
      <protection locked="0"/>
    </xf>
    <xf numFmtId="0" fontId="69" fillId="0" borderId="0" xfId="1" applyFont="1" applyAlignment="1" applyProtection="1">
      <alignment horizontal="center" vertical="center"/>
      <protection locked="0"/>
    </xf>
    <xf numFmtId="0" fontId="54" fillId="0" borderId="0" xfId="1" applyFont="1" applyAlignment="1" applyProtection="1">
      <alignment horizontal="center" vertical="center"/>
      <protection locked="0"/>
    </xf>
    <xf numFmtId="0" fontId="17" fillId="0" borderId="0" xfId="0" applyFont="1">
      <alignment vertical="center"/>
    </xf>
    <xf numFmtId="0" fontId="17" fillId="0" borderId="16" xfId="0" applyFont="1" applyBorder="1">
      <alignment vertical="center"/>
    </xf>
    <xf numFmtId="0" fontId="17" fillId="0" borderId="15" xfId="0" applyFont="1" applyBorder="1">
      <alignment vertical="center"/>
    </xf>
    <xf numFmtId="0" fontId="9" fillId="0" borderId="12" xfId="1" applyFont="1" applyBorder="1" applyProtection="1">
      <alignment vertical="center"/>
      <protection locked="0"/>
    </xf>
    <xf numFmtId="0" fontId="17" fillId="0" borderId="0" xfId="1" applyFont="1" applyAlignment="1">
      <alignment horizontal="left" vertical="center" wrapText="1"/>
    </xf>
    <xf numFmtId="0" fontId="31" fillId="0" borderId="0" xfId="1" applyFont="1" applyProtection="1">
      <alignment vertical="center"/>
      <protection hidden="1"/>
    </xf>
    <xf numFmtId="0" fontId="17" fillId="0" borderId="0" xfId="1" applyFont="1" applyProtection="1">
      <alignment vertical="center"/>
      <protection hidden="1"/>
    </xf>
    <xf numFmtId="0" fontId="17" fillId="0" borderId="61" xfId="3" applyFont="1" applyBorder="1" applyAlignment="1" applyProtection="1">
      <alignment horizontal="left" vertical="center" wrapText="1"/>
      <protection locked="0"/>
    </xf>
    <xf numFmtId="0" fontId="17" fillId="0" borderId="63" xfId="3" applyFont="1" applyBorder="1" applyAlignment="1" applyProtection="1">
      <alignment horizontal="left" vertical="center" wrapText="1"/>
      <protection locked="0"/>
    </xf>
    <xf numFmtId="0" fontId="17" fillId="0" borderId="109" xfId="3" applyFont="1" applyBorder="1" applyAlignment="1" applyProtection="1">
      <alignment horizontal="left" vertical="center" wrapText="1"/>
      <protection locked="0"/>
    </xf>
    <xf numFmtId="0" fontId="27" fillId="0" borderId="0" xfId="1" applyFont="1" applyAlignment="1">
      <alignment horizontal="center" vertical="center"/>
    </xf>
    <xf numFmtId="0" fontId="71" fillId="0" borderId="0" xfId="1" applyFont="1" applyAlignment="1">
      <alignment horizontal="center" vertical="center"/>
    </xf>
    <xf numFmtId="49" fontId="35" fillId="0" borderId="10" xfId="0" applyNumberFormat="1" applyFont="1" applyBorder="1" applyAlignment="1">
      <alignment horizontal="left" vertical="center" wrapText="1"/>
    </xf>
    <xf numFmtId="49" fontId="35" fillId="0" borderId="10" xfId="0" applyNumberFormat="1" applyFont="1" applyBorder="1" applyAlignment="1">
      <alignment vertical="center" wrapText="1"/>
    </xf>
    <xf numFmtId="49" fontId="35" fillId="0" borderId="0" xfId="0" applyNumberFormat="1" applyFont="1">
      <alignment vertical="center"/>
    </xf>
    <xf numFmtId="0" fontId="17" fillId="8" borderId="11" xfId="0" applyFont="1" applyFill="1" applyBorder="1" applyAlignment="1" applyProtection="1">
      <alignment vertical="top"/>
      <protection hidden="1"/>
    </xf>
    <xf numFmtId="0" fontId="17" fillId="9" borderId="11" xfId="0" applyFont="1" applyFill="1" applyBorder="1" applyAlignment="1" applyProtection="1">
      <alignment vertical="top"/>
      <protection hidden="1"/>
    </xf>
    <xf numFmtId="0" fontId="17" fillId="8" borderId="4" xfId="0" applyFont="1" applyFill="1" applyBorder="1" applyAlignment="1" applyProtection="1">
      <alignment vertical="top"/>
      <protection hidden="1"/>
    </xf>
    <xf numFmtId="0" fontId="55" fillId="0" borderId="0" xfId="0" applyFont="1" applyAlignment="1">
      <alignment horizontal="center" vertical="center"/>
    </xf>
    <xf numFmtId="0" fontId="31" fillId="0" borderId="0" xfId="0" applyFont="1">
      <alignment vertical="center"/>
    </xf>
    <xf numFmtId="49" fontId="61" fillId="0" borderId="0" xfId="0" applyNumberFormat="1" applyFont="1" applyAlignment="1">
      <alignment horizontal="center"/>
    </xf>
    <xf numFmtId="0" fontId="61" fillId="0" borderId="0" xfId="0" applyFont="1" applyAlignment="1"/>
    <xf numFmtId="0" fontId="17" fillId="0" borderId="10" xfId="1" applyFont="1" applyBorder="1" applyAlignment="1" applyProtection="1">
      <alignment vertical="center" wrapText="1"/>
      <protection hidden="1"/>
    </xf>
    <xf numFmtId="0" fontId="17" fillId="0" borderId="10" xfId="1" applyFont="1" applyBorder="1" applyAlignment="1" applyProtection="1">
      <alignment vertical="center" wrapText="1"/>
      <protection locked="0"/>
    </xf>
    <xf numFmtId="0" fontId="17" fillId="0" borderId="3" xfId="1" applyFont="1" applyBorder="1" applyAlignment="1" applyProtection="1">
      <alignment vertical="center" wrapText="1"/>
      <protection locked="0"/>
    </xf>
    <xf numFmtId="49" fontId="33" fillId="5" borderId="0" xfId="5" quotePrefix="1" applyNumberFormat="1" applyFont="1" applyFill="1" applyAlignment="1" applyProtection="1">
      <alignment vertical="center"/>
      <protection hidden="1"/>
    </xf>
    <xf numFmtId="49" fontId="17" fillId="0" borderId="57" xfId="1" quotePrefix="1" applyNumberFormat="1" applyFont="1" applyBorder="1" applyAlignment="1" applyProtection="1">
      <alignment horizontal="center" vertical="center" shrinkToFit="1"/>
      <protection locked="0" hidden="1"/>
    </xf>
    <xf numFmtId="0" fontId="17" fillId="0" borderId="68" xfId="1" applyFont="1" applyBorder="1" applyAlignment="1" applyProtection="1">
      <alignment horizontal="center" vertical="center" shrinkToFit="1"/>
      <protection hidden="1"/>
    </xf>
    <xf numFmtId="0" fontId="17" fillId="0" borderId="33" xfId="1" applyFont="1" applyBorder="1" applyAlignment="1" applyProtection="1">
      <alignment horizontal="center" vertical="center" shrinkToFit="1"/>
      <protection hidden="1"/>
    </xf>
    <xf numFmtId="0" fontId="18" fillId="5" borderId="16" xfId="5" applyFont="1" applyFill="1" applyBorder="1" applyAlignment="1" applyProtection="1">
      <alignment vertical="center"/>
      <protection hidden="1"/>
    </xf>
    <xf numFmtId="0" fontId="18" fillId="5" borderId="0" xfId="5" applyFont="1" applyFill="1" applyAlignment="1" applyProtection="1">
      <alignment vertical="center"/>
      <protection hidden="1"/>
    </xf>
    <xf numFmtId="0" fontId="18" fillId="5" borderId="15" xfId="5" applyFont="1" applyFill="1" applyBorder="1" applyAlignment="1" applyProtection="1">
      <alignment vertical="center"/>
      <protection hidden="1"/>
    </xf>
    <xf numFmtId="0" fontId="18" fillId="5" borderId="17" xfId="5" applyFont="1" applyFill="1" applyBorder="1" applyAlignment="1" applyProtection="1">
      <alignment vertical="center"/>
      <protection hidden="1"/>
    </xf>
    <xf numFmtId="0" fontId="18" fillId="0" borderId="0" xfId="5" applyFont="1" applyAlignment="1" applyProtection="1">
      <alignment vertical="center"/>
      <protection hidden="1"/>
    </xf>
    <xf numFmtId="0" fontId="18" fillId="0" borderId="84" xfId="0" quotePrefix="1" applyFont="1" applyBorder="1" applyAlignment="1" applyProtection="1">
      <protection hidden="1"/>
    </xf>
    <xf numFmtId="0" fontId="18" fillId="5" borderId="85" xfId="0" quotePrefix="1" applyFont="1" applyFill="1" applyBorder="1" applyAlignment="1" applyProtection="1">
      <protection hidden="1"/>
    </xf>
    <xf numFmtId="0" fontId="17" fillId="9" borderId="24" xfId="0" applyFont="1" applyFill="1" applyBorder="1" applyProtection="1">
      <alignment vertical="center"/>
      <protection hidden="1"/>
    </xf>
    <xf numFmtId="0" fontId="17" fillId="8" borderId="8" xfId="0" applyFont="1" applyFill="1" applyBorder="1" applyAlignment="1" applyProtection="1">
      <alignment vertical="top"/>
      <protection hidden="1"/>
    </xf>
    <xf numFmtId="0" fontId="17" fillId="9" borderId="23" xfId="0" applyFont="1" applyFill="1" applyBorder="1" applyProtection="1">
      <alignment vertical="center"/>
      <protection hidden="1"/>
    </xf>
    <xf numFmtId="0" fontId="17" fillId="9" borderId="10" xfId="0" applyFont="1" applyFill="1" applyBorder="1" applyProtection="1">
      <alignment vertical="center"/>
      <protection hidden="1"/>
    </xf>
    <xf numFmtId="0" fontId="17" fillId="9" borderId="11" xfId="0" applyFont="1" applyFill="1" applyBorder="1" applyAlignment="1" applyProtection="1">
      <alignment vertical="top" shrinkToFit="1"/>
      <protection hidden="1"/>
    </xf>
    <xf numFmtId="0" fontId="17" fillId="9" borderId="31" xfId="0" applyFont="1" applyFill="1" applyBorder="1" applyProtection="1">
      <alignment vertical="center"/>
      <protection hidden="1"/>
    </xf>
    <xf numFmtId="0" fontId="66" fillId="7" borderId="41" xfId="0" applyFont="1" applyFill="1" applyBorder="1" applyAlignment="1" applyProtection="1">
      <alignment horizontal="center" vertical="center"/>
      <protection hidden="1"/>
    </xf>
    <xf numFmtId="0" fontId="27" fillId="0" borderId="10" xfId="1" applyFont="1" applyBorder="1" applyAlignment="1" applyProtection="1">
      <alignment horizontal="center" vertical="center" wrapText="1"/>
      <protection hidden="1"/>
    </xf>
    <xf numFmtId="0" fontId="27" fillId="0" borderId="26" xfId="1" applyFont="1" applyBorder="1" applyAlignment="1" applyProtection="1">
      <alignment horizontal="center" vertical="center" wrapText="1"/>
      <protection hidden="1"/>
    </xf>
    <xf numFmtId="0" fontId="41" fillId="0" borderId="115" xfId="1" applyFont="1" applyBorder="1" applyProtection="1">
      <alignment vertical="center"/>
      <protection locked="0"/>
    </xf>
    <xf numFmtId="0" fontId="17" fillId="2" borderId="26" xfId="1" applyFont="1" applyFill="1" applyBorder="1" applyAlignment="1" applyProtection="1">
      <alignment horizontal="center" vertical="center"/>
      <protection locked="0"/>
    </xf>
    <xf numFmtId="0" fontId="27" fillId="0" borderId="16" xfId="1" applyFont="1" applyBorder="1" applyAlignment="1" applyProtection="1">
      <alignment horizontal="left" vertical="center" wrapText="1"/>
      <protection hidden="1"/>
    </xf>
    <xf numFmtId="0" fontId="27" fillId="0" borderId="0" xfId="1" applyFont="1" applyAlignment="1" applyProtection="1">
      <alignment horizontal="left" vertical="center" wrapText="1"/>
      <protection hidden="1"/>
    </xf>
    <xf numFmtId="0" fontId="27" fillId="0" borderId="15" xfId="1" applyFont="1" applyBorder="1" applyAlignment="1" applyProtection="1">
      <alignment horizontal="left" vertical="center" wrapText="1"/>
      <protection hidden="1"/>
    </xf>
    <xf numFmtId="0" fontId="27" fillId="0" borderId="54" xfId="1" applyFont="1" applyBorder="1" applyAlignment="1" applyProtection="1">
      <alignment horizontal="left" vertical="center" wrapText="1"/>
      <protection hidden="1"/>
    </xf>
    <xf numFmtId="0" fontId="27" fillId="0" borderId="55" xfId="1" applyFont="1" applyBorder="1" applyAlignment="1" applyProtection="1">
      <alignment horizontal="left" vertical="center" wrapText="1"/>
      <protection hidden="1"/>
    </xf>
    <xf numFmtId="0" fontId="27" fillId="0" borderId="56" xfId="1" applyFont="1" applyBorder="1" applyAlignment="1" applyProtection="1">
      <alignment horizontal="left" vertical="center" wrapText="1"/>
      <protection hidden="1"/>
    </xf>
    <xf numFmtId="0" fontId="17" fillId="0" borderId="0" xfId="1" applyFont="1" applyAlignment="1" applyProtection="1">
      <alignment horizontal="left" vertical="center"/>
      <protection locked="0" hidden="1"/>
    </xf>
    <xf numFmtId="14" fontId="17" fillId="0" borderId="82" xfId="1" applyNumberFormat="1" applyFont="1" applyBorder="1" applyAlignment="1" applyProtection="1">
      <alignment horizontal="left" vertical="center"/>
      <protection locked="0"/>
    </xf>
    <xf numFmtId="49" fontId="17" fillId="0" borderId="82" xfId="1" applyNumberFormat="1" applyFont="1" applyBorder="1" applyAlignment="1" applyProtection="1">
      <alignment horizontal="left" vertical="center"/>
      <protection locked="0"/>
    </xf>
    <xf numFmtId="49" fontId="17" fillId="0" borderId="83" xfId="1" applyNumberFormat="1" applyFont="1" applyBorder="1" applyAlignment="1" applyProtection="1">
      <alignment horizontal="left" vertical="center"/>
      <protection locked="0"/>
    </xf>
    <xf numFmtId="0" fontId="27" fillId="0" borderId="97" xfId="1" applyFont="1" applyBorder="1" applyAlignment="1">
      <alignment horizontal="left" vertical="center"/>
    </xf>
    <xf numFmtId="0" fontId="27" fillId="0" borderId="46" xfId="1" applyFont="1" applyBorder="1" applyAlignment="1" applyProtection="1">
      <alignment horizontal="left" vertical="center" wrapText="1"/>
      <protection hidden="1"/>
    </xf>
    <xf numFmtId="0" fontId="27" fillId="0" borderId="45" xfId="1" applyFont="1" applyBorder="1" applyAlignment="1" applyProtection="1">
      <alignment horizontal="left" vertical="center" wrapText="1"/>
      <protection hidden="1"/>
    </xf>
    <xf numFmtId="0" fontId="27" fillId="0" borderId="49" xfId="1" applyFont="1" applyBorder="1" applyAlignment="1" applyProtection="1">
      <alignment horizontal="left" vertical="center" wrapText="1"/>
      <protection hidden="1"/>
    </xf>
    <xf numFmtId="0" fontId="20" fillId="0" borderId="0" xfId="1" applyFont="1" applyAlignment="1" applyProtection="1">
      <alignment horizontal="right" vertical="center"/>
      <protection hidden="1"/>
    </xf>
    <xf numFmtId="49" fontId="17" fillId="0" borderId="77" xfId="1" applyNumberFormat="1" applyFont="1" applyBorder="1" applyAlignment="1" applyProtection="1">
      <alignment horizontal="left" vertical="center"/>
      <protection locked="0"/>
    </xf>
    <xf numFmtId="49" fontId="17" fillId="0" borderId="78" xfId="1" applyNumberFormat="1" applyFont="1" applyBorder="1" applyAlignment="1" applyProtection="1">
      <alignment horizontal="left" vertical="center"/>
      <protection locked="0"/>
    </xf>
    <xf numFmtId="0" fontId="17" fillId="0" borderId="42" xfId="1" applyFont="1" applyBorder="1" applyAlignment="1" applyProtection="1">
      <alignment horizontal="center" vertical="center" wrapText="1"/>
      <protection hidden="1"/>
    </xf>
    <xf numFmtId="0" fontId="17" fillId="0" borderId="17" xfId="1" applyFont="1" applyBorder="1" applyAlignment="1" applyProtection="1">
      <alignment horizontal="center" vertical="center" wrapText="1"/>
      <protection hidden="1"/>
    </xf>
    <xf numFmtId="0" fontId="17" fillId="0" borderId="77" xfId="1" applyFont="1" applyBorder="1" applyAlignment="1" applyProtection="1">
      <alignment horizontal="left" vertical="center"/>
      <protection locked="0" hidden="1"/>
    </xf>
    <xf numFmtId="14" fontId="17" fillId="0" borderId="93" xfId="1" applyNumberFormat="1" applyFont="1" applyBorder="1" applyAlignment="1" applyProtection="1">
      <alignment horizontal="left" vertical="center" wrapText="1"/>
      <protection locked="0"/>
    </xf>
    <xf numFmtId="0" fontId="17" fillId="0" borderId="94" xfId="1" applyFont="1" applyBorder="1" applyAlignment="1" applyProtection="1">
      <alignment horizontal="left" vertical="center" wrapText="1"/>
      <protection locked="0"/>
    </xf>
    <xf numFmtId="0" fontId="17" fillId="0" borderId="25" xfId="1" applyFont="1" applyBorder="1" applyAlignment="1" applyProtection="1">
      <alignment horizontal="center" vertical="center" wrapText="1"/>
      <protection hidden="1"/>
    </xf>
    <xf numFmtId="0" fontId="17" fillId="0" borderId="29" xfId="1" applyFont="1" applyBorder="1" applyAlignment="1" applyProtection="1">
      <alignment horizontal="center" vertical="center"/>
      <protection hidden="1"/>
    </xf>
    <xf numFmtId="0" fontId="17" fillId="0" borderId="30" xfId="1" applyFont="1" applyBorder="1" applyAlignment="1" applyProtection="1">
      <alignment horizontal="center" vertical="center"/>
      <protection hidden="1"/>
    </xf>
    <xf numFmtId="0" fontId="17" fillId="0" borderId="87" xfId="1" applyFont="1" applyBorder="1" applyAlignment="1" applyProtection="1">
      <alignment horizontal="center" vertical="center" wrapText="1"/>
      <protection hidden="1"/>
    </xf>
    <xf numFmtId="0" fontId="17" fillId="0" borderId="37" xfId="1" applyFont="1" applyBorder="1" applyAlignment="1" applyProtection="1">
      <alignment horizontal="center" vertical="center" wrapText="1"/>
      <protection hidden="1"/>
    </xf>
    <xf numFmtId="0" fontId="17" fillId="0" borderId="104" xfId="1" applyFont="1" applyBorder="1" applyAlignment="1" applyProtection="1">
      <alignment horizontal="center" vertical="center" wrapText="1"/>
      <protection hidden="1"/>
    </xf>
    <xf numFmtId="0" fontId="27" fillId="0" borderId="1" xfId="1" applyFont="1" applyBorder="1" applyAlignment="1" applyProtection="1">
      <alignment horizontal="left" vertical="center" wrapText="1"/>
      <protection hidden="1"/>
    </xf>
    <xf numFmtId="0" fontId="17" fillId="0" borderId="23" xfId="1" applyFont="1" applyBorder="1" applyAlignment="1" applyProtection="1">
      <alignment horizontal="center" vertical="center" wrapText="1"/>
      <protection hidden="1"/>
    </xf>
    <xf numFmtId="0" fontId="17" fillId="0" borderId="49" xfId="1" applyFont="1" applyBorder="1" applyAlignment="1" applyProtection="1">
      <alignment horizontal="center" vertical="center" wrapText="1"/>
      <protection hidden="1"/>
    </xf>
    <xf numFmtId="0" fontId="17" fillId="0" borderId="99" xfId="1" applyFont="1" applyBorder="1" applyAlignment="1" applyProtection="1">
      <alignment horizontal="center" vertical="center" wrapText="1"/>
      <protection hidden="1"/>
    </xf>
    <xf numFmtId="0" fontId="17" fillId="0" borderId="56" xfId="1" applyFont="1" applyBorder="1" applyAlignment="1" applyProtection="1">
      <alignment horizontal="center" vertical="center" wrapText="1"/>
      <protection hidden="1"/>
    </xf>
    <xf numFmtId="0" fontId="17" fillId="0" borderId="43" xfId="1" applyFont="1" applyBorder="1" applyAlignment="1" applyProtection="1">
      <alignment horizontal="center" vertical="center" wrapText="1"/>
      <protection hidden="1"/>
    </xf>
    <xf numFmtId="0" fontId="17" fillId="0" borderId="15" xfId="1" applyFont="1" applyBorder="1" applyAlignment="1" applyProtection="1">
      <alignment horizontal="center" vertical="center" wrapText="1"/>
      <protection hidden="1"/>
    </xf>
    <xf numFmtId="0" fontId="17" fillId="0" borderId="102" xfId="1" applyFont="1" applyBorder="1" applyAlignment="1" applyProtection="1">
      <alignment horizontal="center" vertical="center" wrapText="1"/>
      <protection hidden="1"/>
    </xf>
    <xf numFmtId="0" fontId="17" fillId="0" borderId="12" xfId="1" applyFont="1" applyBorder="1" applyAlignment="1" applyProtection="1">
      <alignment horizontal="center" vertical="center" wrapText="1"/>
      <protection hidden="1"/>
    </xf>
    <xf numFmtId="0" fontId="17" fillId="0" borderId="23" xfId="1" applyFont="1" applyBorder="1" applyAlignment="1" applyProtection="1">
      <alignment horizontal="center" vertical="center"/>
      <protection hidden="1"/>
    </xf>
    <xf numFmtId="0" fontId="17" fillId="0" borderId="72" xfId="1" applyFont="1" applyBorder="1" applyAlignment="1" applyProtection="1">
      <alignment horizontal="center" vertical="center"/>
      <protection hidden="1"/>
    </xf>
    <xf numFmtId="0" fontId="17" fillId="0" borderId="43" xfId="1" applyFont="1" applyBorder="1" applyAlignment="1" applyProtection="1">
      <alignment horizontal="center" vertical="center"/>
      <protection hidden="1"/>
    </xf>
    <xf numFmtId="0" fontId="17" fillId="0" borderId="101" xfId="1" applyFont="1" applyBorder="1" applyAlignment="1" applyProtection="1">
      <alignment horizontal="center" vertical="center"/>
      <protection hidden="1"/>
    </xf>
    <xf numFmtId="0" fontId="17" fillId="0" borderId="102" xfId="1" applyFont="1" applyBorder="1" applyAlignment="1" applyProtection="1">
      <alignment horizontal="center" vertical="center"/>
      <protection hidden="1"/>
    </xf>
    <xf numFmtId="0" fontId="17" fillId="0" borderId="44" xfId="1" applyFont="1" applyBorder="1" applyAlignment="1" applyProtection="1">
      <alignment horizontal="center" vertical="center"/>
      <protection hidden="1"/>
    </xf>
    <xf numFmtId="0" fontId="17" fillId="0" borderId="46" xfId="1" applyFont="1" applyBorder="1" applyAlignment="1" applyProtection="1">
      <alignment horizontal="center" vertical="center"/>
      <protection hidden="1"/>
    </xf>
    <xf numFmtId="0" fontId="17" fillId="0" borderId="16" xfId="1" applyFont="1" applyBorder="1" applyAlignment="1" applyProtection="1">
      <alignment horizontal="center" vertical="center"/>
      <protection hidden="1"/>
    </xf>
    <xf numFmtId="0" fontId="17" fillId="0" borderId="14" xfId="1" applyFont="1" applyBorder="1" applyAlignment="1" applyProtection="1">
      <alignment horizontal="center" vertical="center"/>
      <protection hidden="1"/>
    </xf>
    <xf numFmtId="0" fontId="17" fillId="0" borderId="38" xfId="1" applyFont="1" applyBorder="1" applyAlignment="1" applyProtection="1">
      <alignment horizontal="center" vertical="center"/>
      <protection hidden="1"/>
    </xf>
    <xf numFmtId="0" fontId="17" fillId="0" borderId="32" xfId="1" applyFont="1" applyBorder="1" applyAlignment="1" applyProtection="1">
      <alignment horizontal="center" vertical="center"/>
      <protection hidden="1"/>
    </xf>
    <xf numFmtId="0" fontId="17" fillId="0" borderId="24" xfId="1" applyFont="1" applyBorder="1" applyAlignment="1" applyProtection="1">
      <alignment horizontal="center" vertical="center"/>
      <protection hidden="1"/>
    </xf>
    <xf numFmtId="0" fontId="17" fillId="0" borderId="33" xfId="1" applyFont="1" applyBorder="1" applyAlignment="1" applyProtection="1">
      <alignment horizontal="center" vertical="center"/>
      <protection hidden="1"/>
    </xf>
    <xf numFmtId="0" fontId="17" fillId="0" borderId="10" xfId="1" applyFont="1" applyBorder="1" applyAlignment="1" applyProtection="1">
      <alignment horizontal="center" vertical="center"/>
      <protection hidden="1"/>
    </xf>
    <xf numFmtId="0" fontId="12" fillId="0" borderId="58" xfId="0" applyFont="1" applyBorder="1" applyAlignment="1">
      <alignment horizontal="center" vertical="center"/>
    </xf>
    <xf numFmtId="0" fontId="12" fillId="0" borderId="70" xfId="0" applyFont="1" applyBorder="1" applyAlignment="1">
      <alignment horizontal="center" vertical="center"/>
    </xf>
    <xf numFmtId="0" fontId="12" fillId="0" borderId="59" xfId="0" applyFont="1" applyBorder="1" applyAlignment="1">
      <alignment horizontal="center" vertical="center"/>
    </xf>
    <xf numFmtId="0" fontId="17" fillId="0" borderId="0" xfId="1" applyFont="1" applyAlignment="1">
      <alignment horizontal="left" vertical="top" wrapText="1"/>
    </xf>
    <xf numFmtId="179" fontId="17" fillId="0" borderId="26" xfId="1" applyNumberFormat="1" applyFont="1" applyBorder="1" applyAlignment="1" applyProtection="1">
      <alignment horizontal="right" vertical="center" wrapText="1"/>
      <protection hidden="1"/>
    </xf>
    <xf numFmtId="179" fontId="17" fillId="0" borderId="50" xfId="1" applyNumberFormat="1" applyFont="1" applyBorder="1" applyAlignment="1" applyProtection="1">
      <alignment horizontal="right" vertical="center" wrapText="1"/>
      <protection hidden="1"/>
    </xf>
    <xf numFmtId="49" fontId="17" fillId="0" borderId="0" xfId="1" applyNumberFormat="1" applyFont="1" applyAlignment="1" applyProtection="1">
      <alignment horizontal="left" vertical="center"/>
      <protection locked="0"/>
    </xf>
    <xf numFmtId="49" fontId="17" fillId="0" borderId="80" xfId="1" applyNumberFormat="1" applyFont="1" applyBorder="1" applyAlignment="1" applyProtection="1">
      <alignment horizontal="left" vertical="center"/>
      <protection locked="0"/>
    </xf>
    <xf numFmtId="177" fontId="17" fillId="0" borderId="110" xfId="1" applyNumberFormat="1" applyFont="1" applyBorder="1" applyAlignment="1" applyProtection="1">
      <alignment horizontal="right" vertical="center" wrapText="1"/>
      <protection locked="0"/>
    </xf>
    <xf numFmtId="177" fontId="17" fillId="0" borderId="111" xfId="1" applyNumberFormat="1" applyFont="1" applyBorder="1" applyAlignment="1" applyProtection="1">
      <alignment horizontal="right" vertical="center" wrapText="1"/>
      <protection locked="0"/>
    </xf>
    <xf numFmtId="177" fontId="17" fillId="0" borderId="24" xfId="1" applyNumberFormat="1" applyFont="1" applyBorder="1" applyAlignment="1" applyProtection="1">
      <alignment horizontal="right" vertical="center" wrapText="1"/>
      <protection locked="0"/>
    </xf>
    <xf numFmtId="177" fontId="17" fillId="0" borderId="75" xfId="1" applyNumberFormat="1" applyFont="1" applyBorder="1" applyAlignment="1" applyProtection="1">
      <alignment horizontal="right" vertical="center" wrapText="1"/>
      <protection locked="0"/>
    </xf>
    <xf numFmtId="177" fontId="17" fillId="0" borderId="112" xfId="1" applyNumberFormat="1" applyFont="1" applyBorder="1" applyAlignment="1" applyProtection="1">
      <alignment horizontal="right" vertical="center" wrapText="1"/>
      <protection locked="0"/>
    </xf>
    <xf numFmtId="177" fontId="17" fillId="0" borderId="113" xfId="1" applyNumberFormat="1" applyFont="1" applyBorder="1" applyAlignment="1" applyProtection="1">
      <alignment horizontal="right" vertical="center" wrapText="1"/>
      <protection locked="0"/>
    </xf>
    <xf numFmtId="0" fontId="19" fillId="0" borderId="0" xfId="1" applyFont="1" applyAlignment="1" applyProtection="1">
      <alignment horizontal="center" vertical="center"/>
      <protection hidden="1"/>
    </xf>
    <xf numFmtId="178" fontId="17" fillId="0" borderId="48" xfId="3" applyNumberFormat="1" applyFont="1" applyBorder="1" applyAlignment="1">
      <alignment horizontal="center" vertical="center"/>
    </xf>
    <xf numFmtId="178" fontId="17" fillId="0" borderId="100" xfId="3" applyNumberFormat="1" applyFont="1" applyBorder="1" applyAlignment="1">
      <alignment horizontal="center" vertical="center"/>
    </xf>
    <xf numFmtId="178" fontId="17" fillId="0" borderId="26" xfId="3" applyNumberFormat="1" applyFont="1" applyBorder="1" applyAlignment="1">
      <alignment horizontal="center" vertical="center"/>
    </xf>
    <xf numFmtId="14" fontId="17" fillId="0" borderId="62" xfId="1" applyNumberFormat="1" applyFont="1" applyBorder="1" applyAlignment="1" applyProtection="1">
      <alignment horizontal="left" vertical="center" wrapText="1"/>
      <protection locked="0"/>
    </xf>
    <xf numFmtId="0" fontId="17" fillId="0" borderId="10" xfId="1" applyFont="1" applyBorder="1" applyAlignment="1" applyProtection="1">
      <alignment horizontal="left" vertical="center" wrapText="1"/>
      <protection locked="0"/>
    </xf>
    <xf numFmtId="0" fontId="17" fillId="0" borderId="62" xfId="1" applyFont="1" applyBorder="1" applyAlignment="1" applyProtection="1">
      <alignment horizontal="left" vertical="center" wrapText="1"/>
      <protection locked="0"/>
    </xf>
    <xf numFmtId="0" fontId="17" fillId="0" borderId="64" xfId="1" applyFont="1" applyBorder="1" applyAlignment="1" applyProtection="1">
      <alignment horizontal="left" vertical="center" wrapText="1"/>
      <protection locked="0"/>
    </xf>
    <xf numFmtId="0" fontId="17" fillId="0" borderId="65" xfId="1" applyFont="1" applyBorder="1" applyAlignment="1" applyProtection="1">
      <alignment horizontal="left" vertical="center" wrapText="1"/>
      <protection locked="0"/>
    </xf>
    <xf numFmtId="0" fontId="17" fillId="0" borderId="46" xfId="1" applyFont="1" applyBorder="1" applyAlignment="1" applyProtection="1">
      <alignment horizontal="left" vertical="top" wrapText="1"/>
      <protection locked="0"/>
    </xf>
    <xf numFmtId="0" fontId="17" fillId="0" borderId="45" xfId="1" applyFont="1" applyBorder="1" applyAlignment="1" applyProtection="1">
      <alignment horizontal="left" vertical="top" wrapText="1"/>
      <protection locked="0"/>
    </xf>
    <xf numFmtId="0" fontId="17" fillId="0" borderId="49" xfId="1" applyFont="1" applyBorder="1" applyAlignment="1" applyProtection="1">
      <alignment horizontal="left" vertical="top" wrapText="1"/>
      <protection locked="0"/>
    </xf>
    <xf numFmtId="0" fontId="17" fillId="0" borderId="16" xfId="1" applyFont="1" applyBorder="1" applyAlignment="1" applyProtection="1">
      <alignment horizontal="left" vertical="top" wrapText="1"/>
      <protection locked="0"/>
    </xf>
    <xf numFmtId="0" fontId="17" fillId="0" borderId="0" xfId="1" applyFont="1" applyAlignment="1" applyProtection="1">
      <alignment horizontal="left" vertical="top" wrapText="1"/>
      <protection locked="0"/>
    </xf>
    <xf numFmtId="0" fontId="17" fillId="0" borderId="15" xfId="1" applyFont="1" applyBorder="1" applyAlignment="1" applyProtection="1">
      <alignment horizontal="left" vertical="top" wrapText="1"/>
      <protection locked="0"/>
    </xf>
    <xf numFmtId="0" fontId="17" fillId="0" borderId="54" xfId="1" applyFont="1" applyBorder="1" applyAlignment="1" applyProtection="1">
      <alignment horizontal="left" vertical="top" wrapText="1"/>
      <protection locked="0"/>
    </xf>
    <xf numFmtId="0" fontId="17" fillId="0" borderId="55" xfId="1" applyFont="1" applyBorder="1" applyAlignment="1" applyProtection="1">
      <alignment horizontal="left" vertical="top" wrapText="1"/>
      <protection locked="0"/>
    </xf>
    <xf numFmtId="0" fontId="17" fillId="0" borderId="56" xfId="1" applyFont="1" applyBorder="1" applyAlignment="1" applyProtection="1">
      <alignment horizontal="left" vertical="top" wrapText="1"/>
      <protection locked="0"/>
    </xf>
    <xf numFmtId="0" fontId="17" fillId="0" borderId="46" xfId="1" applyFont="1" applyBorder="1" applyAlignment="1" applyProtection="1">
      <alignment horizontal="center" vertical="center" wrapText="1"/>
      <protection hidden="1"/>
    </xf>
    <xf numFmtId="0" fontId="17" fillId="0" borderId="45" xfId="1" applyFont="1" applyBorder="1" applyAlignment="1" applyProtection="1">
      <alignment horizontal="center" vertical="center" wrapText="1"/>
      <protection hidden="1"/>
    </xf>
    <xf numFmtId="0" fontId="17" fillId="0" borderId="34" xfId="1" applyFont="1" applyBorder="1" applyAlignment="1" applyProtection="1">
      <alignment horizontal="center" vertical="center"/>
      <protection hidden="1"/>
    </xf>
    <xf numFmtId="180" fontId="17" fillId="0" borderId="0" xfId="1" applyNumberFormat="1" applyFont="1" applyAlignment="1" applyProtection="1">
      <alignment horizontal="left" vertical="center"/>
      <protection hidden="1"/>
    </xf>
    <xf numFmtId="0" fontId="35" fillId="0" borderId="0" xfId="0" applyFont="1" applyAlignment="1" applyProtection="1">
      <alignment horizontal="left" vertical="center" wrapText="1"/>
      <protection hidden="1"/>
    </xf>
    <xf numFmtId="0" fontId="58" fillId="0" borderId="0" xfId="0" applyFont="1" applyAlignment="1" applyProtection="1">
      <alignment horizontal="center" vertical="center"/>
      <protection hidden="1"/>
    </xf>
    <xf numFmtId="0" fontId="63" fillId="9" borderId="87" xfId="0" applyFont="1" applyFill="1" applyBorder="1" applyAlignment="1" applyProtection="1">
      <alignment horizontal="center" vertical="center" wrapText="1"/>
      <protection hidden="1"/>
    </xf>
    <xf numFmtId="0" fontId="63" fillId="9" borderId="37" xfId="0" applyFont="1" applyFill="1" applyBorder="1" applyAlignment="1" applyProtection="1">
      <alignment horizontal="center" vertical="center" wrapText="1"/>
      <protection hidden="1"/>
    </xf>
    <xf numFmtId="0" fontId="63" fillId="9" borderId="26" xfId="0" applyFont="1" applyFill="1" applyBorder="1" applyAlignment="1" applyProtection="1">
      <alignment horizontal="center" vertical="center" wrapText="1"/>
      <protection hidden="1"/>
    </xf>
    <xf numFmtId="0" fontId="35" fillId="9" borderId="89" xfId="0" applyFont="1" applyFill="1" applyBorder="1" applyAlignment="1" applyProtection="1">
      <alignment horizontal="left" vertical="center" wrapText="1"/>
      <protection hidden="1"/>
    </xf>
    <xf numFmtId="0" fontId="35" fillId="9" borderId="53" xfId="0" applyFont="1" applyFill="1" applyBorder="1" applyAlignment="1" applyProtection="1">
      <alignment horizontal="left" vertical="center" wrapText="1"/>
      <protection hidden="1"/>
    </xf>
    <xf numFmtId="0" fontId="35" fillId="9" borderId="50" xfId="0" applyFont="1" applyFill="1" applyBorder="1" applyAlignment="1" applyProtection="1">
      <alignment horizontal="left" vertical="center" wrapText="1"/>
      <protection hidden="1"/>
    </xf>
    <xf numFmtId="0" fontId="63" fillId="4" borderId="21" xfId="0" applyFont="1" applyFill="1" applyBorder="1" applyAlignment="1" applyProtection="1">
      <alignment horizontal="left" vertical="center"/>
      <protection hidden="1"/>
    </xf>
    <xf numFmtId="0" fontId="63" fillId="4" borderId="37" xfId="0" applyFont="1" applyFill="1" applyBorder="1" applyAlignment="1" applyProtection="1">
      <alignment horizontal="left" vertical="center"/>
      <protection hidden="1"/>
    </xf>
    <xf numFmtId="0" fontId="63" fillId="4" borderId="10" xfId="0" applyFont="1" applyFill="1" applyBorder="1" applyAlignment="1" applyProtection="1">
      <alignment horizontal="left" vertical="center"/>
      <protection hidden="1"/>
    </xf>
    <xf numFmtId="0" fontId="63" fillId="4" borderId="3" xfId="0" applyFont="1" applyFill="1" applyBorder="1" applyAlignment="1" applyProtection="1">
      <alignment horizontal="left" vertical="center"/>
      <protection hidden="1"/>
    </xf>
    <xf numFmtId="0" fontId="35" fillId="4" borderId="9" xfId="0" applyFont="1" applyFill="1" applyBorder="1" applyAlignment="1" applyProtection="1">
      <alignment horizontal="left" vertical="center"/>
      <protection hidden="1"/>
    </xf>
    <xf numFmtId="0" fontId="35" fillId="4" borderId="2" xfId="0" applyFont="1" applyFill="1" applyBorder="1" applyAlignment="1" applyProtection="1">
      <alignment horizontal="left" vertical="center"/>
      <protection hidden="1"/>
    </xf>
    <xf numFmtId="0" fontId="17" fillId="0" borderId="74" xfId="1" applyFont="1" applyBorder="1" applyAlignment="1" applyProtection="1">
      <alignment horizontal="left" vertical="center" wrapText="1"/>
      <protection locked="0"/>
    </xf>
    <xf numFmtId="0" fontId="17" fillId="0" borderId="32" xfId="1" applyFont="1" applyBorder="1" applyAlignment="1" applyProtection="1">
      <alignment horizontal="left" vertical="center" wrapText="1"/>
      <protection locked="0"/>
    </xf>
    <xf numFmtId="0" fontId="17" fillId="0" borderId="13" xfId="1" applyFont="1" applyBorder="1" applyAlignment="1" applyProtection="1">
      <alignment horizontal="center" vertical="center"/>
      <protection hidden="1"/>
    </xf>
    <xf numFmtId="0" fontId="17" fillId="0" borderId="16" xfId="1" applyFont="1" applyBorder="1" applyAlignment="1" applyProtection="1">
      <alignment horizontal="left" vertical="center" wrapText="1"/>
      <protection hidden="1"/>
    </xf>
    <xf numFmtId="0" fontId="17" fillId="0" borderId="0" xfId="1" applyFont="1" applyAlignment="1" applyProtection="1">
      <alignment horizontal="left" vertical="center" wrapText="1"/>
      <protection hidden="1"/>
    </xf>
    <xf numFmtId="0" fontId="17" fillId="0" borderId="15" xfId="1" applyFont="1" applyBorder="1" applyAlignment="1" applyProtection="1">
      <alignment horizontal="left" vertical="center" wrapText="1"/>
      <protection hidden="1"/>
    </xf>
    <xf numFmtId="177" fontId="17" fillId="0" borderId="112" xfId="2" applyNumberFormat="1" applyFont="1" applyFill="1" applyBorder="1" applyAlignment="1" applyProtection="1">
      <alignment horizontal="right" vertical="center" wrapText="1" shrinkToFit="1"/>
      <protection locked="0"/>
    </xf>
    <xf numFmtId="177" fontId="17" fillId="0" borderId="113" xfId="2" applyNumberFormat="1" applyFont="1" applyFill="1" applyBorder="1" applyAlignment="1" applyProtection="1">
      <alignment horizontal="right" vertical="center" wrapText="1" shrinkToFit="1"/>
      <protection locked="0"/>
    </xf>
    <xf numFmtId="0" fontId="20" fillId="0" borderId="0" xfId="1" applyFont="1" applyAlignment="1" applyProtection="1">
      <alignment horizontal="right" vertical="center" wrapText="1"/>
      <protection hidden="1"/>
    </xf>
    <xf numFmtId="180" fontId="17" fillId="0" borderId="82" xfId="1" applyNumberFormat="1" applyFont="1" applyBorder="1" applyAlignment="1" applyProtection="1">
      <alignment horizontal="left" vertical="center"/>
      <protection hidden="1"/>
    </xf>
    <xf numFmtId="49" fontId="17" fillId="0" borderId="58" xfId="1" applyNumberFormat="1" applyFont="1" applyBorder="1" applyAlignment="1" applyProtection="1">
      <alignment horizontal="left" vertical="center" shrinkToFit="1"/>
      <protection locked="0"/>
    </xf>
    <xf numFmtId="49" fontId="17" fillId="0" borderId="59" xfId="1" applyNumberFormat="1" applyFont="1" applyBorder="1" applyAlignment="1" applyProtection="1">
      <alignment horizontal="left" vertical="center" shrinkToFit="1"/>
      <protection locked="0"/>
    </xf>
    <xf numFmtId="9" fontId="17" fillId="0" borderId="73" xfId="1" applyNumberFormat="1" applyFont="1" applyBorder="1" applyAlignment="1" applyProtection="1">
      <alignment horizontal="left" vertical="center" wrapText="1"/>
      <protection locked="0"/>
    </xf>
    <xf numFmtId="0" fontId="17" fillId="0" borderId="95" xfId="1" applyFont="1" applyBorder="1" applyAlignment="1" applyProtection="1">
      <alignment horizontal="left" vertical="center" wrapText="1"/>
      <protection locked="0"/>
    </xf>
    <xf numFmtId="0" fontId="45" fillId="0" borderId="58" xfId="0" applyFont="1" applyBorder="1" applyAlignment="1" applyProtection="1">
      <alignment horizontal="center" vertical="center"/>
      <protection locked="0"/>
    </xf>
    <xf numFmtId="0" fontId="45" fillId="0" borderId="70" xfId="0" applyFont="1" applyBorder="1" applyAlignment="1" applyProtection="1">
      <alignment horizontal="center" vertical="center"/>
      <protection locked="0"/>
    </xf>
    <xf numFmtId="0" fontId="45" fillId="0" borderId="59" xfId="0" applyFont="1" applyBorder="1" applyAlignment="1" applyProtection="1">
      <alignment horizontal="center" vertical="center"/>
      <protection locked="0"/>
    </xf>
    <xf numFmtId="0" fontId="13" fillId="0" borderId="0" xfId="1" applyFont="1" applyAlignment="1" applyProtection="1">
      <alignment horizontal="left" vertical="top" wrapText="1"/>
      <protection locked="0"/>
    </xf>
    <xf numFmtId="0" fontId="20" fillId="0" borderId="38" xfId="1" applyFont="1" applyBorder="1" applyAlignment="1" applyProtection="1">
      <alignment horizontal="center" vertical="center" wrapText="1"/>
      <protection hidden="1"/>
    </xf>
    <xf numFmtId="0" fontId="20" fillId="0" borderId="33" xfId="1" applyFont="1" applyBorder="1" applyAlignment="1" applyProtection="1">
      <alignment horizontal="center" vertical="center" wrapText="1"/>
      <protection hidden="1"/>
    </xf>
    <xf numFmtId="0" fontId="20" fillId="0" borderId="34" xfId="1" applyFont="1" applyBorder="1" applyAlignment="1" applyProtection="1">
      <alignment horizontal="center" vertical="center" wrapText="1"/>
      <protection hidden="1"/>
    </xf>
    <xf numFmtId="0" fontId="38" fillId="0" borderId="18" xfId="1" applyFont="1" applyBorder="1" applyAlignment="1" applyProtection="1">
      <alignment horizontal="left" vertical="center" wrapText="1"/>
      <protection hidden="1"/>
    </xf>
    <xf numFmtId="0" fontId="38" fillId="0" borderId="1" xfId="1" applyFont="1" applyBorder="1" applyAlignment="1" applyProtection="1">
      <alignment horizontal="left" vertical="center" wrapText="1"/>
      <protection hidden="1"/>
    </xf>
    <xf numFmtId="0" fontId="38" fillId="0" borderId="17" xfId="1" applyFont="1" applyBorder="1" applyAlignment="1" applyProtection="1">
      <alignment horizontal="left" vertical="center" wrapText="1"/>
      <protection hidden="1"/>
    </xf>
    <xf numFmtId="184" fontId="17" fillId="0" borderId="102" xfId="7" applyNumberFormat="1" applyFont="1" applyFill="1" applyBorder="1" applyAlignment="1" applyProtection="1">
      <alignment horizontal="right" vertical="center" wrapText="1" shrinkToFit="1"/>
      <protection hidden="1"/>
    </xf>
    <xf numFmtId="184" fontId="17" fillId="0" borderId="12" xfId="7" applyNumberFormat="1" applyFont="1" applyFill="1" applyBorder="1" applyAlignment="1" applyProtection="1">
      <alignment horizontal="right" vertical="center" wrapText="1" shrinkToFit="1"/>
      <protection hidden="1"/>
    </xf>
    <xf numFmtId="0" fontId="42" fillId="0" borderId="105" xfId="1" applyFont="1" applyBorder="1" applyAlignment="1" applyProtection="1">
      <alignment horizontal="center" vertical="center" wrapText="1"/>
      <protection hidden="1"/>
    </xf>
    <xf numFmtId="0" fontId="42" fillId="0" borderId="13" xfId="1" applyFont="1" applyBorder="1" applyAlignment="1" applyProtection="1">
      <alignment horizontal="center" vertical="center" wrapText="1"/>
      <protection hidden="1"/>
    </xf>
    <xf numFmtId="0" fontId="42" fillId="0" borderId="12" xfId="1" applyFont="1" applyBorder="1" applyAlignment="1" applyProtection="1">
      <alignment horizontal="center" vertical="center" wrapText="1"/>
      <protection hidden="1"/>
    </xf>
    <xf numFmtId="0" fontId="17" fillId="0" borderId="1" xfId="1" applyFont="1" applyBorder="1" applyAlignment="1" applyProtection="1">
      <alignment horizontal="center" vertical="center" wrapText="1"/>
      <protection hidden="1"/>
    </xf>
    <xf numFmtId="0" fontId="17" fillId="0" borderId="96" xfId="1" applyFont="1" applyBorder="1" applyAlignment="1" applyProtection="1">
      <alignment horizontal="center" vertical="center" wrapText="1"/>
      <protection hidden="1"/>
    </xf>
    <xf numFmtId="0" fontId="17" fillId="0" borderId="76" xfId="1" applyFont="1" applyBorder="1" applyAlignment="1" applyProtection="1">
      <alignment horizontal="left" vertical="center" wrapText="1"/>
      <protection locked="0"/>
    </xf>
    <xf numFmtId="0" fontId="17" fillId="0" borderId="98" xfId="1" applyFont="1" applyBorder="1" applyAlignment="1" applyProtection="1">
      <alignment horizontal="left" vertical="center" wrapText="1"/>
      <protection locked="0"/>
    </xf>
    <xf numFmtId="0" fontId="9" fillId="0" borderId="40" xfId="1" applyFont="1" applyBorder="1" applyAlignment="1" applyProtection="1">
      <alignment horizontal="left" vertical="center" wrapText="1"/>
      <protection locked="0"/>
    </xf>
    <xf numFmtId="0" fontId="9" fillId="0" borderId="36" xfId="1" applyFont="1" applyBorder="1" applyAlignment="1" applyProtection="1">
      <alignment horizontal="left" vertical="center" wrapText="1"/>
      <protection locked="0"/>
    </xf>
    <xf numFmtId="0" fontId="9" fillId="0" borderId="35" xfId="1" applyFont="1" applyBorder="1" applyAlignment="1" applyProtection="1">
      <alignment horizontal="left" vertical="center" wrapText="1"/>
      <protection locked="0"/>
    </xf>
    <xf numFmtId="0" fontId="17" fillId="0" borderId="0" xfId="1" applyFont="1" applyAlignment="1" applyProtection="1">
      <alignment horizontal="left" vertical="center"/>
      <protection hidden="1"/>
    </xf>
    <xf numFmtId="0" fontId="17" fillId="0" borderId="79" xfId="1" applyFont="1" applyBorder="1" applyAlignment="1" applyProtection="1">
      <alignment horizontal="left" vertical="center" shrinkToFit="1"/>
      <protection hidden="1"/>
    </xf>
    <xf numFmtId="0" fontId="17" fillId="0" borderId="0" xfId="1" applyFont="1" applyAlignment="1" applyProtection="1">
      <alignment horizontal="left" vertical="center" shrinkToFit="1"/>
      <protection hidden="1"/>
    </xf>
    <xf numFmtId="180" fontId="17" fillId="0" borderId="79" xfId="1" applyNumberFormat="1" applyFont="1" applyBorder="1" applyAlignment="1" applyProtection="1">
      <alignment horizontal="left" vertical="center" shrinkToFit="1"/>
      <protection hidden="1"/>
    </xf>
    <xf numFmtId="180" fontId="17" fillId="0" borderId="0" xfId="1" applyNumberFormat="1" applyFont="1" applyAlignment="1" applyProtection="1">
      <alignment horizontal="left" vertical="center" shrinkToFit="1"/>
      <protection hidden="1"/>
    </xf>
    <xf numFmtId="0" fontId="17" fillId="0" borderId="106" xfId="1" applyFont="1" applyBorder="1" applyAlignment="1" applyProtection="1">
      <alignment horizontal="left" vertical="center" wrapText="1"/>
      <protection hidden="1"/>
    </xf>
    <xf numFmtId="0" fontId="17" fillId="0" borderId="36" xfId="1" applyFont="1" applyBorder="1" applyAlignment="1" applyProtection="1">
      <alignment horizontal="left" vertical="center" wrapText="1"/>
      <protection hidden="1"/>
    </xf>
    <xf numFmtId="0" fontId="17" fillId="0" borderId="35" xfId="1" applyFont="1" applyBorder="1" applyAlignment="1" applyProtection="1">
      <alignment horizontal="left" vertical="center" wrapText="1"/>
      <protection hidden="1"/>
    </xf>
    <xf numFmtId="0" fontId="42" fillId="0" borderId="18" xfId="1" applyFont="1" applyBorder="1" applyAlignment="1">
      <alignment horizontal="left" vertical="center" wrapText="1"/>
    </xf>
    <xf numFmtId="0" fontId="42" fillId="0" borderId="1" xfId="1" applyFont="1" applyBorder="1" applyAlignment="1">
      <alignment horizontal="left" vertical="center" wrapText="1"/>
    </xf>
    <xf numFmtId="0" fontId="42" fillId="0" borderId="17" xfId="1" applyFont="1" applyBorder="1" applyAlignment="1">
      <alignment horizontal="left" vertical="center" wrapText="1"/>
    </xf>
    <xf numFmtId="0" fontId="42" fillId="0" borderId="58" xfId="1" applyFont="1" applyBorder="1" applyAlignment="1" applyProtection="1">
      <alignment horizontal="left" vertical="center" wrapText="1"/>
      <protection locked="0"/>
    </xf>
    <xf numFmtId="0" fontId="42" fillId="0" borderId="70" xfId="1" applyFont="1" applyBorder="1" applyAlignment="1" applyProtection="1">
      <alignment horizontal="left" vertical="center" wrapText="1"/>
      <protection locked="0"/>
    </xf>
    <xf numFmtId="0" fontId="42" fillId="0" borderId="59" xfId="1" applyFont="1" applyBorder="1" applyAlignment="1" applyProtection="1">
      <alignment horizontal="left" vertical="center" wrapText="1"/>
      <protection locked="0"/>
    </xf>
    <xf numFmtId="0" fontId="17" fillId="0" borderId="91" xfId="1" applyFont="1" applyBorder="1" applyAlignment="1" applyProtection="1">
      <alignment horizontal="center" vertical="center"/>
      <protection hidden="1"/>
    </xf>
    <xf numFmtId="0" fontId="17" fillId="0" borderId="25" xfId="1" applyFont="1" applyBorder="1" applyAlignment="1" applyProtection="1">
      <alignment horizontal="center" vertical="center"/>
      <protection hidden="1"/>
    </xf>
    <xf numFmtId="0" fontId="17" fillId="0" borderId="3" xfId="1" applyFont="1" applyBorder="1" applyAlignment="1" applyProtection="1">
      <alignment horizontal="center" vertical="center"/>
      <protection hidden="1"/>
    </xf>
    <xf numFmtId="0" fontId="17" fillId="0" borderId="6" xfId="1" applyFont="1" applyBorder="1" applyAlignment="1" applyProtection="1">
      <alignment horizontal="center" vertical="center"/>
      <protection hidden="1"/>
    </xf>
    <xf numFmtId="0" fontId="17" fillId="0" borderId="31" xfId="1" applyFont="1" applyBorder="1" applyAlignment="1" applyProtection="1">
      <alignment horizontal="center" vertical="center"/>
      <protection hidden="1"/>
    </xf>
    <xf numFmtId="0" fontId="17" fillId="0" borderId="114" xfId="1" applyFont="1" applyBorder="1" applyAlignment="1" applyProtection="1">
      <alignment horizontal="center" vertical="center"/>
      <protection hidden="1"/>
    </xf>
    <xf numFmtId="0" fontId="17" fillId="0" borderId="42" xfId="1" applyFont="1" applyBorder="1" applyAlignment="1" applyProtection="1">
      <alignment horizontal="center" vertical="center"/>
      <protection hidden="1"/>
    </xf>
    <xf numFmtId="0" fontId="17" fillId="0" borderId="17" xfId="1" applyFont="1" applyBorder="1" applyAlignment="1" applyProtection="1">
      <alignment horizontal="center" vertical="center"/>
      <protection hidden="1"/>
    </xf>
    <xf numFmtId="0" fontId="17" fillId="0" borderId="99" xfId="1" applyFont="1" applyBorder="1" applyAlignment="1" applyProtection="1">
      <alignment horizontal="center" vertical="center"/>
      <protection hidden="1"/>
    </xf>
    <xf numFmtId="0" fontId="17" fillId="0" borderId="56" xfId="1" applyFont="1" applyBorder="1" applyAlignment="1" applyProtection="1">
      <alignment horizontal="center" vertical="center"/>
      <protection hidden="1"/>
    </xf>
    <xf numFmtId="177" fontId="17" fillId="0" borderId="110" xfId="2" applyNumberFormat="1" applyFont="1" applyFill="1" applyBorder="1" applyAlignment="1" applyProtection="1">
      <alignment horizontal="right" vertical="center" wrapText="1" shrinkToFit="1"/>
      <protection locked="0"/>
    </xf>
    <xf numFmtId="177" fontId="17" fillId="0" borderId="111" xfId="2" applyNumberFormat="1" applyFont="1" applyFill="1" applyBorder="1" applyAlignment="1" applyProtection="1">
      <alignment horizontal="right" vertical="center" wrapText="1" shrinkToFit="1"/>
      <protection locked="0"/>
    </xf>
    <xf numFmtId="177" fontId="17" fillId="0" borderId="24" xfId="2" applyNumberFormat="1" applyFont="1" applyFill="1" applyBorder="1" applyAlignment="1" applyProtection="1">
      <alignment horizontal="right" vertical="center" wrapText="1" shrinkToFit="1"/>
      <protection locked="0"/>
    </xf>
    <xf numFmtId="177" fontId="17" fillId="0" borderId="75" xfId="2" applyNumberFormat="1" applyFont="1" applyFill="1" applyBorder="1" applyAlignment="1" applyProtection="1">
      <alignment horizontal="right" vertical="center" wrapText="1" shrinkToFit="1"/>
      <protection locked="0"/>
    </xf>
    <xf numFmtId="0" fontId="17" fillId="4" borderId="58" xfId="1" applyFont="1" applyFill="1" applyBorder="1" applyAlignment="1" applyProtection="1">
      <alignment horizontal="left" vertical="center"/>
      <protection locked="0"/>
    </xf>
    <xf numFmtId="0" fontId="17" fillId="4" borderId="70" xfId="1" applyFont="1" applyFill="1" applyBorder="1" applyAlignment="1" applyProtection="1">
      <alignment horizontal="left" vertical="center"/>
      <protection locked="0"/>
    </xf>
    <xf numFmtId="0" fontId="17" fillId="4" borderId="59" xfId="1" applyFont="1" applyFill="1" applyBorder="1" applyAlignment="1" applyProtection="1">
      <alignment horizontal="left" vertical="center"/>
      <protection locked="0"/>
    </xf>
    <xf numFmtId="0" fontId="17" fillId="0" borderId="58" xfId="1" applyFont="1" applyBorder="1" applyAlignment="1" applyProtection="1">
      <alignment horizontal="left" vertical="center"/>
      <protection locked="0"/>
    </xf>
    <xf numFmtId="0" fontId="17" fillId="0" borderId="70" xfId="1" applyFont="1" applyBorder="1" applyAlignment="1" applyProtection="1">
      <alignment horizontal="left" vertical="center"/>
      <protection locked="0"/>
    </xf>
    <xf numFmtId="0" fontId="17" fillId="0" borderId="59" xfId="1" applyFont="1" applyBorder="1" applyAlignment="1" applyProtection="1">
      <alignment horizontal="left" vertical="center"/>
      <protection locked="0"/>
    </xf>
    <xf numFmtId="0" fontId="17" fillId="0" borderId="49" xfId="1" applyFont="1" applyBorder="1" applyAlignment="1" applyProtection="1">
      <alignment horizontal="center" vertical="center"/>
      <protection hidden="1"/>
    </xf>
    <xf numFmtId="0" fontId="17" fillId="0" borderId="15" xfId="1" applyFont="1" applyBorder="1" applyAlignment="1" applyProtection="1">
      <alignment horizontal="center" vertical="center"/>
      <protection hidden="1"/>
    </xf>
    <xf numFmtId="0" fontId="17" fillId="0" borderId="12" xfId="1" applyFont="1" applyBorder="1" applyAlignment="1" applyProtection="1">
      <alignment horizontal="center" vertical="center"/>
      <protection hidden="1"/>
    </xf>
    <xf numFmtId="180" fontId="20" fillId="0" borderId="79" xfId="1" applyNumberFormat="1" applyFont="1" applyBorder="1" applyAlignment="1" applyProtection="1">
      <alignment horizontal="left" vertical="center"/>
      <protection hidden="1"/>
    </xf>
    <xf numFmtId="180" fontId="20" fillId="0" borderId="0" xfId="1" applyNumberFormat="1" applyFont="1" applyAlignment="1" applyProtection="1">
      <alignment horizontal="left" vertical="center"/>
      <protection hidden="1"/>
    </xf>
    <xf numFmtId="0" fontId="50" fillId="0" borderId="38" xfId="1" applyFont="1" applyBorder="1" applyAlignment="1" applyProtection="1">
      <alignment horizontal="center" vertical="center" wrapText="1"/>
      <protection hidden="1"/>
    </xf>
    <xf numFmtId="0" fontId="50" fillId="0" borderId="33" xfId="1" applyFont="1" applyBorder="1" applyAlignment="1" applyProtection="1">
      <alignment horizontal="center" vertical="center" wrapText="1"/>
      <protection hidden="1"/>
    </xf>
    <xf numFmtId="0" fontId="50" fillId="0" borderId="34" xfId="1" applyFont="1" applyBorder="1" applyAlignment="1" applyProtection="1">
      <alignment horizontal="center" vertical="center" wrapText="1"/>
      <protection hidden="1"/>
    </xf>
    <xf numFmtId="0" fontId="9" fillId="0" borderId="0" xfId="1" applyFont="1" applyAlignment="1" applyProtection="1">
      <alignment horizontal="left" vertical="top" wrapText="1"/>
      <protection locked="0"/>
    </xf>
    <xf numFmtId="0" fontId="20" fillId="0" borderId="58" xfId="1" applyFont="1" applyBorder="1" applyAlignment="1" applyProtection="1">
      <alignment horizontal="left" vertical="center" wrapText="1"/>
      <protection locked="0"/>
    </xf>
    <xf numFmtId="0" fontId="20" fillId="0" borderId="70" xfId="1" applyFont="1" applyBorder="1" applyAlignment="1" applyProtection="1">
      <alignment horizontal="left" vertical="center" wrapText="1"/>
      <protection locked="0"/>
    </xf>
    <xf numFmtId="0" fontId="20" fillId="0" borderId="88" xfId="1" applyFont="1" applyBorder="1" applyAlignment="1" applyProtection="1">
      <alignment horizontal="left" vertical="center" wrapText="1"/>
      <protection locked="0"/>
    </xf>
    <xf numFmtId="0" fontId="41" fillId="0" borderId="79" xfId="1" applyFont="1" applyBorder="1" applyAlignment="1" applyProtection="1">
      <alignment horizontal="left" vertical="center"/>
      <protection hidden="1"/>
    </xf>
    <xf numFmtId="0" fontId="41" fillId="0" borderId="0" xfId="1" applyFont="1" applyAlignment="1" applyProtection="1">
      <alignment horizontal="left" vertical="center"/>
      <protection hidden="1"/>
    </xf>
    <xf numFmtId="0" fontId="41" fillId="0" borderId="15" xfId="1" applyFont="1" applyBorder="1" applyAlignment="1" applyProtection="1">
      <alignment horizontal="left" vertical="center"/>
      <protection hidden="1"/>
    </xf>
    <xf numFmtId="0" fontId="17" fillId="0" borderId="14" xfId="1" applyFont="1" applyBorder="1" applyAlignment="1" applyProtection="1">
      <alignment horizontal="left" vertical="center" wrapText="1"/>
      <protection hidden="1"/>
    </xf>
    <xf numFmtId="0" fontId="17" fillId="0" borderId="13" xfId="1" applyFont="1" applyBorder="1" applyAlignment="1" applyProtection="1">
      <alignment horizontal="left" vertical="center" wrapText="1"/>
      <protection hidden="1"/>
    </xf>
    <xf numFmtId="0" fontId="17" fillId="0" borderId="11" xfId="1" applyFont="1" applyBorder="1" applyAlignment="1" applyProtection="1">
      <alignment horizontal="left" vertical="center"/>
      <protection locked="0"/>
    </xf>
    <xf numFmtId="0" fontId="17" fillId="0" borderId="100" xfId="1" applyFont="1" applyBorder="1" applyAlignment="1" applyProtection="1">
      <alignment horizontal="left" vertical="center"/>
      <protection locked="0"/>
    </xf>
    <xf numFmtId="0" fontId="17" fillId="0" borderId="26" xfId="1" applyFont="1" applyBorder="1" applyAlignment="1" applyProtection="1">
      <alignment horizontal="left" vertical="center"/>
      <protection locked="0"/>
    </xf>
    <xf numFmtId="185" fontId="17" fillId="2" borderId="99" xfId="2" applyNumberFormat="1" applyFont="1" applyFill="1" applyBorder="1" applyAlignment="1" applyProtection="1">
      <alignment horizontal="right" vertical="center"/>
      <protection hidden="1"/>
    </xf>
    <xf numFmtId="185" fontId="17" fillId="2" borderId="34" xfId="2" applyNumberFormat="1" applyFont="1" applyFill="1" applyBorder="1" applyAlignment="1" applyProtection="1">
      <alignment horizontal="right" vertical="center"/>
      <protection hidden="1"/>
    </xf>
    <xf numFmtId="0" fontId="20" fillId="0" borderId="13" xfId="1" applyFont="1" applyBorder="1" applyAlignment="1" applyProtection="1">
      <alignment horizontal="right" vertical="center"/>
      <protection locked="0"/>
    </xf>
    <xf numFmtId="49" fontId="17" fillId="0" borderId="0" xfId="1" applyNumberFormat="1" applyFont="1" applyAlignment="1" applyProtection="1">
      <alignment horizontal="left" vertical="center"/>
      <protection hidden="1"/>
    </xf>
    <xf numFmtId="49" fontId="17" fillId="0" borderId="80" xfId="1" applyNumberFormat="1" applyFont="1" applyBorder="1" applyAlignment="1" applyProtection="1">
      <alignment horizontal="left" vertical="center"/>
      <protection hidden="1"/>
    </xf>
    <xf numFmtId="0" fontId="20" fillId="0" borderId="79" xfId="1" applyFont="1" applyBorder="1" applyAlignment="1" applyProtection="1">
      <alignment horizontal="right" vertical="center"/>
      <protection locked="0"/>
    </xf>
    <xf numFmtId="0" fontId="20" fillId="0" borderId="0" xfId="1" applyFont="1" applyAlignment="1" applyProtection="1">
      <alignment horizontal="right" vertical="center"/>
      <protection locked="0"/>
    </xf>
    <xf numFmtId="184" fontId="17" fillId="0" borderId="74" xfId="2" applyNumberFormat="1" applyFont="1" applyBorder="1" applyAlignment="1" applyProtection="1">
      <alignment horizontal="right" vertical="center" wrapText="1"/>
      <protection hidden="1"/>
    </xf>
    <xf numFmtId="184" fontId="17" fillId="0" borderId="34" xfId="2" applyNumberFormat="1" applyFont="1" applyBorder="1" applyAlignment="1" applyProtection="1">
      <alignment horizontal="right" vertical="center" wrapText="1"/>
      <protection hidden="1"/>
    </xf>
    <xf numFmtId="0" fontId="41" fillId="0" borderId="24" xfId="1" applyFont="1" applyBorder="1" applyAlignment="1" applyProtection="1">
      <alignment horizontal="left" vertical="center" wrapText="1"/>
      <protection hidden="1"/>
    </xf>
    <xf numFmtId="0" fontId="41" fillId="0" borderId="33" xfId="1" applyFont="1" applyBorder="1" applyAlignment="1" applyProtection="1">
      <alignment horizontal="left" vertical="center" wrapText="1"/>
      <protection hidden="1"/>
    </xf>
    <xf numFmtId="0" fontId="41" fillId="0" borderId="75" xfId="1" applyFont="1" applyBorder="1" applyAlignment="1" applyProtection="1">
      <alignment horizontal="left" vertical="center" wrapText="1"/>
      <protection hidden="1"/>
    </xf>
    <xf numFmtId="0" fontId="38" fillId="0" borderId="18" xfId="1" applyFont="1" applyBorder="1" applyAlignment="1" applyProtection="1">
      <alignment horizontal="left" vertical="center"/>
      <protection hidden="1"/>
    </xf>
    <xf numFmtId="0" fontId="38" fillId="0" borderId="1" xfId="1" applyFont="1" applyBorder="1" applyAlignment="1" applyProtection="1">
      <alignment horizontal="left" vertical="center"/>
      <protection hidden="1"/>
    </xf>
    <xf numFmtId="0" fontId="38" fillId="0" borderId="17" xfId="1" applyFont="1" applyBorder="1" applyAlignment="1" applyProtection="1">
      <alignment horizontal="left" vertical="center"/>
      <protection hidden="1"/>
    </xf>
    <xf numFmtId="0" fontId="38" fillId="0" borderId="16" xfId="1" applyFont="1" applyBorder="1" applyAlignment="1" applyProtection="1">
      <alignment horizontal="left" vertical="center" wrapText="1"/>
      <protection hidden="1"/>
    </xf>
    <xf numFmtId="0" fontId="38" fillId="0" borderId="0" xfId="1" applyFont="1" applyAlignment="1" applyProtection="1">
      <alignment horizontal="left" vertical="center"/>
      <protection hidden="1"/>
    </xf>
    <xf numFmtId="0" fontId="38" fillId="0" borderId="15" xfId="1" applyFont="1" applyBorder="1" applyAlignment="1" applyProtection="1">
      <alignment horizontal="left" vertical="center"/>
      <protection hidden="1"/>
    </xf>
    <xf numFmtId="0" fontId="19" fillId="0" borderId="0" xfId="3" applyFont="1" applyAlignment="1" applyProtection="1">
      <alignment horizontal="center" vertical="center"/>
      <protection hidden="1"/>
    </xf>
    <xf numFmtId="0" fontId="17" fillId="0" borderId="107" xfId="3" applyFont="1" applyBorder="1" applyAlignment="1" applyProtection="1">
      <alignment horizontal="center" vertical="center" wrapText="1"/>
      <protection locked="0"/>
    </xf>
    <xf numFmtId="0" fontId="17" fillId="0" borderId="60" xfId="3" applyFont="1" applyBorder="1" applyAlignment="1" applyProtection="1">
      <alignment horizontal="center" vertical="center" wrapText="1"/>
      <protection locked="0"/>
    </xf>
    <xf numFmtId="0" fontId="17" fillId="0" borderId="62" xfId="3" applyFont="1" applyBorder="1" applyAlignment="1" applyProtection="1">
      <alignment horizontal="center" vertical="center" wrapText="1"/>
      <protection locked="0"/>
    </xf>
    <xf numFmtId="0" fontId="17" fillId="0" borderId="10" xfId="3" applyFont="1" applyBorder="1" applyAlignment="1" applyProtection="1">
      <alignment horizontal="center" vertical="center" wrapText="1"/>
      <protection locked="0"/>
    </xf>
    <xf numFmtId="0" fontId="17" fillId="0" borderId="10" xfId="3" applyFont="1" applyBorder="1" applyAlignment="1" applyProtection="1">
      <alignment horizontal="center" vertical="center"/>
      <protection hidden="1"/>
    </xf>
    <xf numFmtId="0" fontId="17" fillId="0" borderId="89" xfId="3" applyFont="1" applyBorder="1" applyAlignment="1" applyProtection="1">
      <alignment horizontal="center" vertical="center"/>
      <protection hidden="1"/>
    </xf>
    <xf numFmtId="0" fontId="17" fillId="0" borderId="50" xfId="3" applyFont="1" applyBorder="1" applyAlignment="1" applyProtection="1">
      <alignment horizontal="center" vertical="center"/>
      <protection hidden="1"/>
    </xf>
    <xf numFmtId="0" fontId="17" fillId="0" borderId="21" xfId="1" applyFont="1" applyBorder="1" applyAlignment="1" applyProtection="1">
      <alignment horizontal="center" vertical="center" wrapText="1"/>
      <protection hidden="1"/>
    </xf>
    <xf numFmtId="0" fontId="17" fillId="0" borderId="26" xfId="1" applyFont="1" applyBorder="1" applyAlignment="1" applyProtection="1">
      <alignment horizontal="center" vertical="center" wrapText="1"/>
      <protection hidden="1"/>
    </xf>
    <xf numFmtId="0" fontId="17" fillId="0" borderId="22" xfId="3" applyFont="1" applyBorder="1" applyAlignment="1" applyProtection="1">
      <alignment horizontal="center" vertical="center"/>
      <protection hidden="1"/>
    </xf>
    <xf numFmtId="0" fontId="17" fillId="0" borderId="90" xfId="3" applyFont="1" applyBorder="1" applyAlignment="1" applyProtection="1">
      <alignment horizontal="center" vertical="center"/>
      <protection hidden="1"/>
    </xf>
    <xf numFmtId="0" fontId="20" fillId="0" borderId="0" xfId="3" applyFont="1" applyAlignment="1" applyProtection="1">
      <alignment horizontal="right" vertical="center"/>
      <protection locked="0"/>
    </xf>
    <xf numFmtId="180" fontId="17" fillId="0" borderId="0" xfId="3" applyNumberFormat="1" applyFont="1" applyAlignment="1" applyProtection="1">
      <alignment horizontal="left" vertical="center"/>
      <protection hidden="1"/>
    </xf>
    <xf numFmtId="0" fontId="20" fillId="0" borderId="0" xfId="3" applyFont="1" applyAlignment="1" applyProtection="1">
      <alignment horizontal="right" vertical="center"/>
      <protection hidden="1"/>
    </xf>
    <xf numFmtId="0" fontId="20" fillId="0" borderId="79" xfId="1" applyFont="1" applyBorder="1" applyAlignment="1" applyProtection="1">
      <alignment horizontal="right" vertical="center"/>
      <protection hidden="1"/>
    </xf>
    <xf numFmtId="0" fontId="24" fillId="0" borderId="0" xfId="1" applyFont="1" applyAlignment="1" applyProtection="1">
      <alignment horizontal="left" vertical="top" wrapText="1"/>
      <protection locked="0"/>
    </xf>
    <xf numFmtId="0" fontId="12" fillId="0" borderId="58" xfId="0" applyFont="1" applyBorder="1" applyAlignment="1" applyProtection="1">
      <alignment horizontal="center" vertical="center"/>
      <protection locked="0"/>
    </xf>
    <xf numFmtId="0" fontId="12" fillId="0" borderId="70" xfId="0" applyFont="1" applyBorder="1" applyAlignment="1" applyProtection="1">
      <alignment horizontal="center" vertical="center"/>
      <protection locked="0"/>
    </xf>
    <xf numFmtId="0" fontId="12" fillId="0" borderId="59" xfId="0" applyFont="1" applyBorder="1" applyAlignment="1" applyProtection="1">
      <alignment horizontal="center" vertical="center"/>
      <protection locked="0"/>
    </xf>
    <xf numFmtId="0" fontId="17" fillId="0" borderId="87" xfId="1" applyFont="1" applyBorder="1" applyAlignment="1" applyProtection="1">
      <alignment horizontal="center" vertical="center"/>
      <protection hidden="1"/>
    </xf>
    <xf numFmtId="0" fontId="17" fillId="0" borderId="37" xfId="1" applyFont="1" applyBorder="1" applyAlignment="1" applyProtection="1">
      <alignment horizontal="center" vertical="center"/>
      <protection hidden="1"/>
    </xf>
    <xf numFmtId="0" fontId="17" fillId="0" borderId="104" xfId="1" applyFont="1" applyBorder="1" applyAlignment="1" applyProtection="1">
      <alignment horizontal="center" vertical="center"/>
      <protection hidden="1"/>
    </xf>
    <xf numFmtId="0" fontId="17" fillId="0" borderId="53" xfId="3" applyFont="1" applyBorder="1" applyAlignment="1" applyProtection="1">
      <alignment horizontal="center" vertical="center"/>
      <protection hidden="1"/>
    </xf>
    <xf numFmtId="0" fontId="17" fillId="0" borderId="92" xfId="3" applyFont="1" applyBorder="1" applyAlignment="1" applyProtection="1">
      <alignment horizontal="center" vertical="center"/>
      <protection hidden="1"/>
    </xf>
    <xf numFmtId="0" fontId="17" fillId="0" borderId="23" xfId="3" applyFont="1" applyBorder="1" applyAlignment="1" applyProtection="1">
      <alignment horizontal="center" vertical="center"/>
      <protection hidden="1"/>
    </xf>
    <xf numFmtId="0" fontId="17" fillId="0" borderId="45" xfId="3" applyFont="1" applyBorder="1" applyAlignment="1" applyProtection="1">
      <alignment horizontal="center" vertical="center"/>
      <protection hidden="1"/>
    </xf>
    <xf numFmtId="0" fontId="17" fillId="0" borderId="72" xfId="3" applyFont="1" applyBorder="1" applyAlignment="1" applyProtection="1">
      <alignment horizontal="center" vertical="center"/>
      <protection hidden="1"/>
    </xf>
    <xf numFmtId="0" fontId="17" fillId="0" borderId="43" xfId="3" applyFont="1" applyBorder="1" applyAlignment="1" applyProtection="1">
      <alignment horizontal="center" vertical="center"/>
      <protection hidden="1"/>
    </xf>
    <xf numFmtId="0" fontId="17" fillId="0" borderId="0" xfId="3" applyFont="1" applyAlignment="1" applyProtection="1">
      <alignment horizontal="center" vertical="center"/>
      <protection hidden="1"/>
    </xf>
    <xf numFmtId="0" fontId="17" fillId="0" borderId="101" xfId="3" applyFont="1" applyBorder="1" applyAlignment="1" applyProtection="1">
      <alignment horizontal="center" vertical="center"/>
      <protection hidden="1"/>
    </xf>
    <xf numFmtId="0" fontId="17" fillId="0" borderId="102" xfId="3" applyFont="1" applyBorder="1" applyAlignment="1" applyProtection="1">
      <alignment horizontal="center" vertical="center"/>
      <protection hidden="1"/>
    </xf>
    <xf numFmtId="0" fontId="17" fillId="0" borderId="13" xfId="3" applyFont="1" applyBorder="1" applyAlignment="1" applyProtection="1">
      <alignment horizontal="center" vertical="center"/>
      <protection hidden="1"/>
    </xf>
    <xf numFmtId="0" fontId="17" fillId="0" borderId="44" xfId="3" applyFont="1" applyBorder="1" applyAlignment="1" applyProtection="1">
      <alignment horizontal="center" vertical="center"/>
      <protection hidden="1"/>
    </xf>
    <xf numFmtId="0" fontId="17" fillId="0" borderId="85" xfId="3" applyFont="1" applyBorder="1" applyAlignment="1" applyProtection="1">
      <alignment horizontal="center" vertical="center"/>
      <protection hidden="1"/>
    </xf>
    <xf numFmtId="0" fontId="17" fillId="0" borderId="86" xfId="3" applyFont="1" applyBorder="1" applyAlignment="1" applyProtection="1">
      <alignment horizontal="center" vertical="center"/>
      <protection hidden="1"/>
    </xf>
    <xf numFmtId="0" fontId="17" fillId="0" borderId="18" xfId="3" applyFont="1" applyBorder="1" applyAlignment="1" applyProtection="1">
      <alignment horizontal="left" vertical="top"/>
      <protection locked="0"/>
    </xf>
    <xf numFmtId="0" fontId="17" fillId="0" borderId="1" xfId="3" applyFont="1" applyBorder="1" applyAlignment="1" applyProtection="1">
      <alignment horizontal="left" vertical="top"/>
      <protection locked="0"/>
    </xf>
    <xf numFmtId="0" fontId="17" fillId="0" borderId="17" xfId="3" applyFont="1" applyBorder="1" applyAlignment="1" applyProtection="1">
      <alignment horizontal="left" vertical="top"/>
      <protection locked="0"/>
    </xf>
    <xf numFmtId="0" fontId="17" fillId="0" borderId="16" xfId="3" applyFont="1" applyBorder="1" applyAlignment="1" applyProtection="1">
      <alignment horizontal="left" vertical="top"/>
      <protection locked="0"/>
    </xf>
    <xf numFmtId="0" fontId="17" fillId="0" borderId="0" xfId="3" applyFont="1" applyAlignment="1" applyProtection="1">
      <alignment horizontal="left" vertical="top"/>
      <protection locked="0"/>
    </xf>
    <xf numFmtId="0" fontId="17" fillId="0" borderId="15" xfId="3" applyFont="1" applyBorder="1" applyAlignment="1" applyProtection="1">
      <alignment horizontal="left" vertical="top"/>
      <protection locked="0"/>
    </xf>
    <xf numFmtId="0" fontId="17" fillId="0" borderId="14" xfId="3" applyFont="1" applyBorder="1" applyAlignment="1" applyProtection="1">
      <alignment horizontal="left" vertical="top"/>
      <protection locked="0"/>
    </xf>
    <xf numFmtId="0" fontId="17" fillId="0" borderId="13" xfId="3" applyFont="1" applyBorder="1" applyAlignment="1" applyProtection="1">
      <alignment horizontal="left" vertical="top"/>
      <protection locked="0"/>
    </xf>
    <xf numFmtId="0" fontId="17" fillId="0" borderId="12" xfId="3" applyFont="1" applyBorder="1" applyAlignment="1" applyProtection="1">
      <alignment horizontal="left" vertical="top"/>
      <protection locked="0"/>
    </xf>
    <xf numFmtId="0" fontId="17" fillId="0" borderId="38" xfId="3" applyFont="1" applyBorder="1" applyAlignment="1" applyProtection="1">
      <alignment horizontal="center" vertical="center"/>
      <protection hidden="1"/>
    </xf>
    <xf numFmtId="0" fontId="17" fillId="0" borderId="33" xfId="3" applyFont="1" applyBorder="1" applyAlignment="1" applyProtection="1">
      <alignment horizontal="center" vertical="center"/>
      <protection hidden="1"/>
    </xf>
    <xf numFmtId="0" fontId="17" fillId="0" borderId="34" xfId="3" applyFont="1" applyBorder="1" applyAlignment="1" applyProtection="1">
      <alignment horizontal="center" vertical="center"/>
      <protection hidden="1"/>
    </xf>
    <xf numFmtId="0" fontId="17" fillId="0" borderId="46" xfId="3" applyFont="1" applyBorder="1" applyAlignment="1" applyProtection="1">
      <alignment horizontal="left" vertical="center"/>
      <protection hidden="1"/>
    </xf>
    <xf numFmtId="0" fontId="17" fillId="0" borderId="45" xfId="3" applyFont="1" applyBorder="1" applyAlignment="1" applyProtection="1">
      <alignment horizontal="left" vertical="center"/>
      <protection hidden="1"/>
    </xf>
    <xf numFmtId="0" fontId="17" fillId="0" borderId="49" xfId="3" applyFont="1" applyBorder="1" applyAlignment="1" applyProtection="1">
      <alignment horizontal="left" vertical="center"/>
      <protection hidden="1"/>
    </xf>
    <xf numFmtId="0" fontId="17" fillId="0" borderId="16" xfId="3" applyFont="1" applyBorder="1" applyAlignment="1" applyProtection="1">
      <alignment horizontal="left" vertical="center" wrapText="1"/>
      <protection locked="0"/>
    </xf>
    <xf numFmtId="0" fontId="17" fillId="0" borderId="0" xfId="3" applyFont="1" applyAlignment="1" applyProtection="1">
      <alignment horizontal="left" vertical="center" wrapText="1"/>
      <protection locked="0"/>
    </xf>
    <xf numFmtId="0" fontId="17" fillId="0" borderId="15" xfId="3" applyFont="1" applyBorder="1" applyAlignment="1" applyProtection="1">
      <alignment horizontal="left" vertical="center" wrapText="1"/>
      <protection locked="0"/>
    </xf>
    <xf numFmtId="0" fontId="17" fillId="0" borderId="106" xfId="3" applyFont="1" applyBorder="1" applyAlignment="1" applyProtection="1">
      <alignment horizontal="left" vertical="center"/>
      <protection hidden="1"/>
    </xf>
    <xf numFmtId="0" fontId="17" fillId="0" borderId="36" xfId="3" applyFont="1" applyBorder="1" applyAlignment="1" applyProtection="1">
      <alignment horizontal="left" vertical="center"/>
      <protection hidden="1"/>
    </xf>
    <xf numFmtId="0" fontId="17" fillId="0" borderId="35" xfId="3" applyFont="1" applyBorder="1" applyAlignment="1" applyProtection="1">
      <alignment horizontal="left" vertical="center"/>
      <protection hidden="1"/>
    </xf>
    <xf numFmtId="0" fontId="17" fillId="0" borderId="108" xfId="3" applyFont="1" applyBorder="1" applyAlignment="1" applyProtection="1">
      <alignment horizontal="center" vertical="center" wrapText="1"/>
      <protection locked="0"/>
    </xf>
    <xf numFmtId="0" fontId="17" fillId="0" borderId="3" xfId="3" applyFont="1" applyBorder="1" applyAlignment="1" applyProtection="1">
      <alignment horizontal="center" vertical="center" wrapText="1"/>
      <protection locked="0"/>
    </xf>
    <xf numFmtId="0" fontId="17" fillId="0" borderId="23" xfId="3" applyFont="1" applyBorder="1" applyAlignment="1" applyProtection="1">
      <alignment horizontal="center" vertical="center" shrinkToFit="1"/>
      <protection hidden="1"/>
    </xf>
    <xf numFmtId="0" fontId="17" fillId="0" borderId="72" xfId="3" applyFont="1" applyBorder="1" applyAlignment="1" applyProtection="1">
      <alignment horizontal="center" vertical="center" shrinkToFit="1"/>
      <protection hidden="1"/>
    </xf>
    <xf numFmtId="0" fontId="17" fillId="0" borderId="32" xfId="3" applyFont="1" applyBorder="1" applyAlignment="1" applyProtection="1">
      <alignment horizontal="center" vertical="center"/>
      <protection hidden="1"/>
    </xf>
    <xf numFmtId="0" fontId="17" fillId="0" borderId="27" xfId="3" applyFont="1" applyBorder="1" applyAlignment="1" applyProtection="1">
      <alignment horizontal="center" vertical="center"/>
      <protection hidden="1"/>
    </xf>
    <xf numFmtId="0" fontId="17" fillId="0" borderId="28" xfId="3" applyFont="1" applyBorder="1" applyAlignment="1" applyProtection="1">
      <alignment horizontal="center" vertical="center"/>
      <protection hidden="1"/>
    </xf>
    <xf numFmtId="0" fontId="17" fillId="0" borderId="14" xfId="3" applyFont="1" applyBorder="1" applyAlignment="1" applyProtection="1">
      <alignment horizontal="left" vertical="center"/>
      <protection hidden="1"/>
    </xf>
    <xf numFmtId="0" fontId="17" fillId="0" borderId="13" xfId="3" applyFont="1" applyBorder="1" applyAlignment="1" applyProtection="1">
      <alignment horizontal="left" vertical="center"/>
      <protection hidden="1"/>
    </xf>
    <xf numFmtId="0" fontId="17" fillId="0" borderId="12" xfId="3" applyFont="1" applyBorder="1" applyAlignment="1" applyProtection="1">
      <alignment horizontal="left" vertical="center"/>
      <protection hidden="1"/>
    </xf>
    <xf numFmtId="0" fontId="17" fillId="0" borderId="7" xfId="1" applyFont="1" applyBorder="1" applyAlignment="1" applyProtection="1">
      <alignment horizontal="center" vertical="center" wrapText="1"/>
      <protection hidden="1"/>
    </xf>
    <xf numFmtId="0" fontId="17" fillId="0" borderId="11" xfId="1" applyFont="1" applyBorder="1" applyAlignment="1" applyProtection="1">
      <alignment horizontal="center" vertical="center" wrapText="1"/>
      <protection hidden="1"/>
    </xf>
    <xf numFmtId="0" fontId="17" fillId="0" borderId="6" xfId="1" applyFont="1" applyBorder="1" applyAlignment="1" applyProtection="1">
      <alignment horizontal="center" vertical="center" wrapText="1"/>
      <protection hidden="1"/>
    </xf>
    <xf numFmtId="0" fontId="17" fillId="0" borderId="10" xfId="1" applyFont="1" applyBorder="1" applyAlignment="1" applyProtection="1">
      <alignment horizontal="center" vertical="center" wrapText="1"/>
      <protection hidden="1"/>
    </xf>
    <xf numFmtId="0" fontId="17" fillId="2" borderId="91" xfId="3" applyFont="1" applyFill="1" applyBorder="1" applyAlignment="1" applyProtection="1">
      <alignment horizontal="center" vertical="center" wrapText="1"/>
      <protection hidden="1"/>
    </xf>
    <xf numFmtId="0" fontId="17" fillId="2" borderId="29" xfId="3" applyFont="1" applyFill="1" applyBorder="1" applyAlignment="1" applyProtection="1">
      <alignment horizontal="center" vertical="center" wrapText="1"/>
      <protection hidden="1"/>
    </xf>
    <xf numFmtId="0" fontId="17" fillId="2" borderId="39" xfId="3" applyFont="1" applyFill="1" applyBorder="1" applyAlignment="1" applyProtection="1">
      <alignment horizontal="center" vertical="center" wrapText="1"/>
      <protection hidden="1"/>
    </xf>
    <xf numFmtId="0" fontId="17" fillId="0" borderId="20" xfId="3" applyFont="1" applyBorder="1" applyAlignment="1" applyProtection="1">
      <alignment horizontal="center" vertical="center" wrapText="1"/>
      <protection hidden="1"/>
    </xf>
    <xf numFmtId="0" fontId="17" fillId="0" borderId="19" xfId="3" applyFont="1" applyBorder="1" applyAlignment="1" applyProtection="1">
      <alignment horizontal="center" vertical="center" wrapText="1"/>
      <protection hidden="1"/>
    </xf>
    <xf numFmtId="0" fontId="17" fillId="0" borderId="0" xfId="3" applyFont="1" applyAlignment="1" applyProtection="1">
      <alignment horizontal="left" vertical="center"/>
      <protection hidden="1"/>
    </xf>
    <xf numFmtId="0" fontId="17" fillId="0" borderId="6" xfId="3" applyFont="1" applyBorder="1" applyAlignment="1" applyProtection="1">
      <alignment horizontal="center" vertical="center" wrapText="1"/>
      <protection hidden="1"/>
    </xf>
    <xf numFmtId="0" fontId="17" fillId="0" borderId="10" xfId="3" applyFont="1" applyBorder="1" applyAlignment="1" applyProtection="1">
      <alignment horizontal="center" vertical="center" wrapText="1"/>
      <protection hidden="1"/>
    </xf>
    <xf numFmtId="0" fontId="17" fillId="0" borderId="25" xfId="3" applyFont="1" applyBorder="1" applyAlignment="1" applyProtection="1">
      <alignment horizontal="center" vertical="center" wrapText="1"/>
      <protection hidden="1"/>
    </xf>
    <xf numFmtId="0" fontId="17" fillId="0" borderId="23" xfId="3" applyFont="1" applyBorder="1" applyAlignment="1" applyProtection="1">
      <alignment horizontal="center" vertical="center" wrapText="1"/>
      <protection hidden="1"/>
    </xf>
    <xf numFmtId="176" fontId="17" fillId="0" borderId="0" xfId="1" applyNumberFormat="1" applyFont="1" applyAlignment="1" applyProtection="1">
      <alignment horizontal="left" vertical="center"/>
      <protection hidden="1"/>
    </xf>
    <xf numFmtId="0" fontId="19" fillId="0" borderId="0" xfId="1" applyFont="1" applyAlignment="1" applyProtection="1">
      <alignment horizontal="center" vertical="center"/>
      <protection locked="0"/>
    </xf>
    <xf numFmtId="182" fontId="17" fillId="0" borderId="0" xfId="1" applyNumberFormat="1" applyFont="1" applyAlignment="1" applyProtection="1">
      <alignment horizontal="left" vertical="center"/>
      <protection hidden="1"/>
    </xf>
    <xf numFmtId="182" fontId="17" fillId="0" borderId="58" xfId="1" applyNumberFormat="1" applyFont="1" applyBorder="1" applyAlignment="1" applyProtection="1">
      <alignment horizontal="left" vertical="center"/>
      <protection hidden="1"/>
    </xf>
    <xf numFmtId="182" fontId="17" fillId="0" borderId="59" xfId="1" applyNumberFormat="1" applyFont="1" applyBorder="1" applyAlignment="1" applyProtection="1">
      <alignment horizontal="left" vertical="center"/>
      <protection hidden="1"/>
    </xf>
    <xf numFmtId="49" fontId="17" fillId="0" borderId="10" xfId="1" applyNumberFormat="1" applyFont="1" applyBorder="1" applyAlignment="1" applyProtection="1">
      <alignment horizontal="center" vertical="center" wrapText="1" shrinkToFit="1"/>
      <protection locked="0"/>
    </xf>
    <xf numFmtId="0" fontId="9" fillId="0" borderId="1" xfId="1" applyFont="1" applyBorder="1" applyAlignment="1" applyProtection="1">
      <alignment horizontal="left" vertical="center"/>
      <protection locked="0"/>
    </xf>
    <xf numFmtId="0" fontId="17" fillId="0" borderId="10" xfId="1" applyFont="1" applyBorder="1" applyAlignment="1" applyProtection="1">
      <alignment horizontal="center" vertical="center" wrapText="1"/>
      <protection locked="0"/>
    </xf>
    <xf numFmtId="0" fontId="17" fillId="0" borderId="10" xfId="1" applyFont="1" applyBorder="1" applyAlignment="1" applyProtection="1">
      <alignment horizontal="center" vertical="center"/>
      <protection locked="0"/>
    </xf>
    <xf numFmtId="0" fontId="56" fillId="0" borderId="24"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horizontal="left" vertical="center" wrapText="1"/>
    </xf>
    <xf numFmtId="0" fontId="56" fillId="6" borderId="24" xfId="0" applyFont="1" applyFill="1" applyBorder="1" applyAlignment="1">
      <alignment horizontal="center" vertical="center" wrapText="1"/>
    </xf>
    <xf numFmtId="0" fontId="56" fillId="6" borderId="32" xfId="0" applyFont="1" applyFill="1" applyBorder="1" applyAlignment="1">
      <alignment horizontal="center" vertical="center" wrapText="1"/>
    </xf>
    <xf numFmtId="49" fontId="35" fillId="0" borderId="24" xfId="0" applyNumberFormat="1" applyFont="1" applyBorder="1" applyAlignment="1">
      <alignment horizontal="left" vertical="center" wrapText="1"/>
    </xf>
    <xf numFmtId="49" fontId="35" fillId="0" borderId="33" xfId="0" applyNumberFormat="1" applyFont="1" applyBorder="1" applyAlignment="1">
      <alignment horizontal="left" vertical="center" wrapText="1"/>
    </xf>
    <xf numFmtId="49" fontId="35" fillId="0" borderId="32" xfId="0" applyNumberFormat="1" applyFont="1" applyBorder="1" applyAlignment="1">
      <alignment horizontal="left" vertical="center" wrapText="1"/>
    </xf>
    <xf numFmtId="49" fontId="35" fillId="0" borderId="10" xfId="0" applyNumberFormat="1" applyFont="1" applyBorder="1" applyAlignment="1">
      <alignment horizontal="left" vertical="center" wrapText="1"/>
    </xf>
    <xf numFmtId="0" fontId="56" fillId="6" borderId="10" xfId="0" applyFont="1" applyFill="1" applyBorder="1" applyAlignment="1">
      <alignment horizontal="center" vertical="center" wrapText="1"/>
    </xf>
    <xf numFmtId="0" fontId="55" fillId="0" borderId="0" xfId="0" applyFont="1" applyAlignment="1">
      <alignment horizontal="center" vertical="center"/>
    </xf>
    <xf numFmtId="0" fontId="56" fillId="6" borderId="87" xfId="0" applyFont="1" applyFill="1" applyBorder="1" applyAlignment="1">
      <alignment horizontal="center" vertical="center" wrapText="1"/>
    </xf>
    <xf numFmtId="0" fontId="56" fillId="6" borderId="26" xfId="0" applyFont="1" applyFill="1" applyBorder="1" applyAlignment="1">
      <alignment horizontal="center" vertical="center" wrapText="1"/>
    </xf>
    <xf numFmtId="49" fontId="56" fillId="6" borderId="10" xfId="0" applyNumberFormat="1" applyFont="1" applyFill="1" applyBorder="1" applyAlignment="1">
      <alignment horizontal="center" vertical="center" wrapText="1"/>
    </xf>
    <xf numFmtId="49" fontId="35" fillId="0" borderId="10" xfId="0" applyNumberFormat="1" applyFont="1" applyBorder="1" applyAlignment="1">
      <alignment horizontal="center" vertical="center" wrapText="1"/>
    </xf>
    <xf numFmtId="49" fontId="56" fillId="6" borderId="24" xfId="0" applyNumberFormat="1" applyFont="1" applyFill="1" applyBorder="1" applyAlignment="1">
      <alignment horizontal="center" vertical="center" wrapText="1"/>
    </xf>
    <xf numFmtId="49" fontId="56" fillId="6" borderId="32" xfId="0" applyNumberFormat="1" applyFont="1" applyFill="1" applyBorder="1" applyAlignment="1">
      <alignment horizontal="center" vertical="center" wrapText="1"/>
    </xf>
    <xf numFmtId="49" fontId="35" fillId="0" borderId="10" xfId="0" applyNumberFormat="1" applyFont="1" applyBorder="1" applyAlignment="1">
      <alignment vertical="center" wrapText="1"/>
    </xf>
    <xf numFmtId="0" fontId="72" fillId="0" borderId="55" xfId="0" applyFont="1" applyBorder="1" applyAlignment="1">
      <alignment horizontal="center" vertical="center"/>
    </xf>
    <xf numFmtId="186" fontId="72" fillId="0" borderId="55" xfId="0" applyNumberFormat="1" applyFont="1" applyBorder="1" applyAlignment="1">
      <alignment horizontal="left" vertical="center"/>
    </xf>
    <xf numFmtId="0" fontId="62" fillId="0" borderId="24" xfId="0" applyFont="1" applyBorder="1" applyAlignment="1">
      <alignment horizontal="center" vertical="center"/>
    </xf>
    <xf numFmtId="0" fontId="62" fillId="0" borderId="33" xfId="0" applyFont="1" applyBorder="1" applyAlignment="1">
      <alignment horizontal="center" vertical="center"/>
    </xf>
    <xf numFmtId="0" fontId="62" fillId="0" borderId="32" xfId="0" applyFont="1" applyBorder="1" applyAlignment="1">
      <alignment horizontal="center" vertical="center"/>
    </xf>
    <xf numFmtId="49" fontId="35" fillId="0" borderId="24" xfId="0" quotePrefix="1" applyNumberFormat="1" applyFont="1" applyBorder="1" applyAlignment="1">
      <alignment horizontal="left" vertical="center" wrapText="1"/>
    </xf>
    <xf numFmtId="49" fontId="57" fillId="0" borderId="10" xfId="6" applyNumberFormat="1" applyFont="1" applyFill="1" applyBorder="1" applyAlignment="1">
      <alignment horizontal="left" vertical="center" wrapText="1"/>
    </xf>
  </cellXfs>
  <cellStyles count="8">
    <cellStyle name="一般" xfId="0" builtinId="0"/>
    <cellStyle name="一般 2" xfId="4" xr:uid="{C0010775-2E81-441B-9EF4-073D92A8F829}"/>
    <cellStyle name="一般 2 2" xfId="3" xr:uid="{3D37C829-9967-4BE8-9453-39984A3412F4}"/>
    <cellStyle name="一般 3" xfId="5" xr:uid="{A6505B3B-C528-4816-BC7A-53E1B989CEAA}"/>
    <cellStyle name="一般 5" xfId="1" xr:uid="{AE14BE6D-0274-4507-98C9-DC0838318819}"/>
    <cellStyle name="千分位" xfId="7" builtinId="3"/>
    <cellStyle name="千分位 2" xfId="2" xr:uid="{55684FF2-2DE2-4961-A71C-85FF6DE895BB}"/>
    <cellStyle name="超連結" xfId="6" builtinId="8"/>
  </cellStyles>
  <dxfs count="40">
    <dxf>
      <fill>
        <patternFill>
          <bgColor theme="1"/>
        </patternFill>
      </fill>
    </dxf>
    <dxf>
      <font>
        <color theme="0"/>
      </font>
      <fill>
        <patternFill patternType="solid">
          <bgColor theme="0"/>
        </patternFill>
      </fill>
    </dxf>
    <dxf>
      <font>
        <color theme="0"/>
      </font>
      <fill>
        <patternFill patternType="solid">
          <bgColor theme="0"/>
        </patternFill>
      </fill>
    </dxf>
    <dxf>
      <fill>
        <patternFill>
          <bgColor theme="1"/>
        </patternFill>
      </fill>
    </dxf>
    <dxf>
      <fill>
        <patternFill>
          <bgColor theme="0" tint="-0.14996795556505021"/>
        </patternFill>
      </fill>
    </dxf>
    <dxf>
      <font>
        <color theme="0"/>
      </font>
    </dxf>
    <dxf>
      <font>
        <color theme="0"/>
      </font>
    </dxf>
    <dxf>
      <fill>
        <patternFill>
          <bgColor theme="1"/>
        </patternFill>
      </fill>
    </dxf>
    <dxf>
      <fill>
        <patternFill>
          <bgColor theme="1"/>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21</xdr:col>
      <xdr:colOff>403339</xdr:colOff>
      <xdr:row>32</xdr:row>
      <xdr:rowOff>130075</xdr:rowOff>
    </xdr:to>
    <xdr:pic>
      <xdr:nvPicPr>
        <xdr:cNvPr id="4" name="圖片 3">
          <a:extLst>
            <a:ext uri="{FF2B5EF4-FFF2-40B4-BE49-F238E27FC236}">
              <a16:creationId xmlns:a16="http://schemas.microsoft.com/office/drawing/2014/main" id="{D5AEC34B-2997-4BA9-9C8B-1D603A70D8A1}"/>
            </a:ext>
          </a:extLst>
        </xdr:cNvPr>
        <xdr:cNvPicPr>
          <a:picLocks noChangeAspect="1"/>
        </xdr:cNvPicPr>
      </xdr:nvPicPr>
      <xdr:blipFill>
        <a:blip xmlns:r="http://schemas.openxmlformats.org/officeDocument/2006/relationships" r:embed="rId1"/>
        <a:stretch>
          <a:fillRect/>
        </a:stretch>
      </xdr:blipFill>
      <xdr:spPr>
        <a:xfrm>
          <a:off x="391583" y="1132417"/>
          <a:ext cx="14659089" cy="6035575"/>
        </a:xfrm>
        <a:prstGeom prst="rect">
          <a:avLst/>
        </a:prstGeom>
      </xdr:spPr>
    </xdr:pic>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A8FC48-FFF7-49CA-9249-81E048B5EE71}">
  <we:reference id="wa104199815" version="1.0.0.1" store="zh-TW" storeType="OMEX"/>
  <we:alternateReferences>
    <we:reference id="wa104199815" version="1.0.0.1" store="wa1041998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CDAF-731B-4AA0-AAAF-92C62BD280BA}">
  <sheetPr codeName="工作表3">
    <tabColor rgb="FFFF0000"/>
    <pageSetUpPr fitToPage="1"/>
  </sheetPr>
  <dimension ref="A1:X67"/>
  <sheetViews>
    <sheetView showGridLines="0" topLeftCell="A16" zoomScale="90" zoomScaleNormal="90" workbookViewId="0">
      <selection activeCell="B5" sqref="B5"/>
    </sheetView>
  </sheetViews>
  <sheetFormatPr defaultColWidth="9" defaultRowHeight="15.6"/>
  <cols>
    <col min="1" max="1" width="5.109375" style="103" customWidth="1"/>
    <col min="2" max="2" width="15.109375" style="103" customWidth="1"/>
    <col min="3" max="6" width="9" style="103"/>
    <col min="7" max="7" width="9.44140625" style="103" customWidth="1"/>
    <col min="8" max="23" width="9" style="103"/>
    <col min="24" max="24" width="77.21875" style="103" hidden="1" customWidth="1"/>
    <col min="25" max="16384" width="9" style="103"/>
  </cols>
  <sheetData>
    <row r="1" spans="1:24" ht="36.75" customHeight="1">
      <c r="A1" s="357" t="s">
        <v>0</v>
      </c>
      <c r="B1" s="357"/>
      <c r="C1" s="357"/>
      <c r="D1" s="357"/>
      <c r="E1" s="357"/>
      <c r="F1" s="357"/>
      <c r="G1" s="357"/>
      <c r="H1" s="357"/>
      <c r="I1" s="357"/>
      <c r="J1" s="357"/>
      <c r="K1" s="357"/>
      <c r="L1" s="357"/>
      <c r="M1" s="357"/>
      <c r="N1" s="357"/>
      <c r="O1" s="357"/>
      <c r="P1" s="357"/>
      <c r="Q1" s="357"/>
      <c r="R1" s="357"/>
      <c r="S1" s="357"/>
      <c r="T1" s="357"/>
      <c r="U1" s="357"/>
      <c r="V1" s="357"/>
      <c r="W1" s="357"/>
    </row>
    <row r="2" spans="1:24" ht="36.75" customHeight="1">
      <c r="A2" s="357" t="s">
        <v>1</v>
      </c>
      <c r="B2" s="357"/>
      <c r="C2" s="357"/>
      <c r="D2" s="357"/>
      <c r="E2" s="357"/>
      <c r="F2" s="357"/>
      <c r="G2" s="357"/>
      <c r="H2" s="357"/>
      <c r="I2" s="357"/>
      <c r="J2" s="357"/>
      <c r="K2" s="357"/>
      <c r="L2" s="357"/>
      <c r="M2" s="357"/>
      <c r="N2" s="357"/>
      <c r="O2" s="357"/>
      <c r="P2" s="357"/>
      <c r="Q2" s="357"/>
      <c r="R2" s="357"/>
      <c r="S2" s="357"/>
      <c r="T2" s="357"/>
      <c r="U2" s="357"/>
      <c r="V2" s="357"/>
      <c r="W2" s="357"/>
    </row>
    <row r="3" spans="1:24" ht="169.5" hidden="1" customHeight="1">
      <c r="B3" s="356" t="s">
        <v>2</v>
      </c>
      <c r="C3" s="356"/>
      <c r="D3" s="356"/>
      <c r="E3" s="356"/>
      <c r="F3" s="356"/>
      <c r="G3" s="356"/>
      <c r="H3" s="356"/>
      <c r="I3" s="356"/>
      <c r="J3" s="356"/>
      <c r="K3" s="356"/>
      <c r="L3" s="356"/>
      <c r="M3" s="356"/>
      <c r="N3" s="356"/>
      <c r="O3" s="356"/>
      <c r="P3" s="356"/>
      <c r="Q3" s="356"/>
      <c r="R3" s="356"/>
      <c r="S3" s="356"/>
      <c r="T3" s="356"/>
      <c r="U3" s="356"/>
      <c r="X3" s="104" t="s">
        <v>3</v>
      </c>
    </row>
    <row r="6" spans="1:24">
      <c r="E6" s="105"/>
      <c r="X6" s="106" t="s">
        <v>4</v>
      </c>
    </row>
    <row r="7" spans="1:24">
      <c r="E7" s="105"/>
      <c r="X7" s="103" t="s">
        <v>5</v>
      </c>
    </row>
    <row r="8" spans="1:24">
      <c r="X8" s="103" t="s">
        <v>6</v>
      </c>
    </row>
    <row r="9" spans="1:24">
      <c r="X9" s="103" t="s">
        <v>7</v>
      </c>
    </row>
    <row r="10" spans="1:24" ht="20.100000000000001" customHeight="1">
      <c r="X10" s="103" t="s">
        <v>8</v>
      </c>
    </row>
    <row r="11" spans="1:24" ht="20.100000000000001" customHeight="1">
      <c r="X11" s="103" t="s">
        <v>9</v>
      </c>
    </row>
    <row r="12" spans="1:24">
      <c r="X12" s="103" t="s">
        <v>10</v>
      </c>
    </row>
    <row r="16" spans="1:24" ht="20.100000000000001" customHeight="1">
      <c r="X16" s="106" t="s">
        <v>11</v>
      </c>
    </row>
    <row r="17" spans="10:24" ht="19.5" customHeight="1">
      <c r="X17" s="103" t="s">
        <v>12</v>
      </c>
    </row>
    <row r="18" spans="10:24">
      <c r="X18" s="103" t="s">
        <v>13</v>
      </c>
    </row>
    <row r="19" spans="10:24">
      <c r="X19" s="103" t="s">
        <v>14</v>
      </c>
    </row>
    <row r="20" spans="10:24" ht="20.100000000000001" customHeight="1">
      <c r="X20" s="103" t="s">
        <v>15</v>
      </c>
    </row>
    <row r="21" spans="10:24" ht="20.100000000000001" customHeight="1">
      <c r="X21" s="103" t="s">
        <v>16</v>
      </c>
    </row>
    <row r="22" spans="10:24">
      <c r="X22" s="103" t="s">
        <v>17</v>
      </c>
    </row>
    <row r="23" spans="10:24">
      <c r="X23" s="103" t="s">
        <v>18</v>
      </c>
    </row>
    <row r="24" spans="10:24">
      <c r="X24" s="103" t="s">
        <v>19</v>
      </c>
    </row>
    <row r="28" spans="10:24">
      <c r="X28" s="106" t="s">
        <v>20</v>
      </c>
    </row>
    <row r="29" spans="10:24">
      <c r="X29" s="103" t="s">
        <v>21</v>
      </c>
    </row>
    <row r="30" spans="10:24">
      <c r="X30" s="103" t="s">
        <v>22</v>
      </c>
    </row>
    <row r="31" spans="10:24">
      <c r="X31" s="103" t="s">
        <v>23</v>
      </c>
    </row>
    <row r="32" spans="10:24">
      <c r="J32" s="107"/>
      <c r="X32" s="103" t="s">
        <v>24</v>
      </c>
    </row>
    <row r="33" spans="10:24">
      <c r="J33" s="107"/>
      <c r="X33" s="103" t="s">
        <v>25</v>
      </c>
    </row>
    <row r="34" spans="10:24" ht="15.75" customHeight="1">
      <c r="J34" s="107"/>
    </row>
    <row r="35" spans="10:24" ht="15.75" customHeight="1">
      <c r="J35" s="107"/>
    </row>
    <row r="36" spans="10:24" ht="15.75" customHeight="1">
      <c r="J36" s="107"/>
    </row>
    <row r="37" spans="10:24" ht="15.75" customHeight="1">
      <c r="J37" s="107"/>
      <c r="X37" s="106" t="s">
        <v>26</v>
      </c>
    </row>
    <row r="38" spans="10:24" ht="15.75" customHeight="1">
      <c r="X38" s="103" t="s">
        <v>27</v>
      </c>
    </row>
    <row r="39" spans="10:24">
      <c r="X39" s="103" t="s">
        <v>28</v>
      </c>
    </row>
    <row r="40" spans="10:24">
      <c r="O40" s="105"/>
      <c r="X40" s="103" t="s">
        <v>29</v>
      </c>
    </row>
    <row r="41" spans="10:24">
      <c r="X41" s="103" t="s">
        <v>30</v>
      </c>
    </row>
    <row r="42" spans="10:24">
      <c r="X42" s="103" t="s">
        <v>31</v>
      </c>
    </row>
    <row r="43" spans="10:24">
      <c r="X43" s="103" t="s">
        <v>32</v>
      </c>
    </row>
    <row r="44" spans="10:24">
      <c r="X44" s="103" t="s">
        <v>33</v>
      </c>
    </row>
    <row r="45" spans="10:24">
      <c r="X45" s="103" t="s">
        <v>34</v>
      </c>
    </row>
    <row r="46" spans="10:24">
      <c r="X46" s="103" t="s">
        <v>35</v>
      </c>
    </row>
    <row r="49" spans="3:24">
      <c r="X49" s="108" t="s">
        <v>36</v>
      </c>
    </row>
    <row r="50" spans="3:24">
      <c r="X50" s="108" t="s">
        <v>37</v>
      </c>
    </row>
    <row r="51" spans="3:24">
      <c r="X51" s="108" t="s">
        <v>38</v>
      </c>
    </row>
    <row r="53" spans="3:24">
      <c r="C53" s="109"/>
      <c r="J53" s="105"/>
    </row>
    <row r="55" spans="3:24">
      <c r="G55" s="107"/>
    </row>
    <row r="67" ht="14.25" customHeight="1"/>
  </sheetData>
  <sheetProtection algorithmName="SHA-512" hashValue="0zdn6U9MQ5k3OM1cRdzLj7z326oFqqlUPO/sENld6GHY6+mrfctz6F5NLOCWKwUJcKpUA/09cdDUwDubedL+jQ==" saltValue="7AvBDgqeLq+SJs/pTw1+tA==" spinCount="100000" sheet="1" formatCells="0" formatColumns="0" formatRows="0" insertColumns="0" insertRows="0" insertHyperlinks="0" deleteColumns="0" deleteRows="0" sort="0" autoFilter="0" pivotTables="0"/>
  <customSheetViews>
    <customSheetView guid="{35D388E4-CC07-43EA-A28A-E86A81E2BB3C}" scale="95">
      <selection activeCell="V9" sqref="V9"/>
      <pageMargins left="0" right="0" top="0" bottom="0" header="0" footer="0"/>
      <pageSetup paperSize="9" orientation="portrait" r:id="rId1"/>
    </customSheetView>
  </customSheetViews>
  <mergeCells count="3">
    <mergeCell ref="B3:U3"/>
    <mergeCell ref="A1:W1"/>
    <mergeCell ref="A2:W2"/>
  </mergeCells>
  <phoneticPr fontId="3" type="noConversion"/>
  <printOptions horizontalCentered="1"/>
  <pageMargins left="0.18" right="0.15748031496062992" top="0.7" bottom="0.17" header="0.43" footer="0.17"/>
  <pageSetup paperSize="9" scale="48" orientation="portrait" cellComments="asDisplayed" r:id="rId2"/>
  <rowBreaks count="1" manualBreakCount="1">
    <brk id="37" max="22"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A17F-2541-4C06-9A2B-604518D40886}">
  <sheetPr codeName="工作表4">
    <tabColor rgb="FFFF0000"/>
    <pageSetUpPr fitToPage="1"/>
  </sheetPr>
  <dimension ref="B1:E30"/>
  <sheetViews>
    <sheetView showGridLines="0" zoomScale="85" zoomScaleNormal="85" workbookViewId="0">
      <selection activeCell="D27" sqref="D27"/>
    </sheetView>
  </sheetViews>
  <sheetFormatPr defaultColWidth="9" defaultRowHeight="15.6"/>
  <cols>
    <col min="1" max="1" width="1" style="194" customWidth="1"/>
    <col min="2" max="2" width="24" style="194" customWidth="1"/>
    <col min="3" max="3" width="30.88671875" style="194" customWidth="1"/>
    <col min="4" max="4" width="36.88671875" style="194" bestFit="1" customWidth="1"/>
    <col min="5" max="5" width="53.109375" style="194" bestFit="1" customWidth="1"/>
    <col min="6" max="16384" width="9" style="194"/>
  </cols>
  <sheetData>
    <row r="1" spans="2:5" ht="18.75" customHeight="1" thickBot="1">
      <c r="B1" s="264" t="s">
        <v>39</v>
      </c>
      <c r="C1" s="213" t="s">
        <v>40</v>
      </c>
      <c r="D1" s="214" t="s">
        <v>41</v>
      </c>
      <c r="E1" s="215" t="s">
        <v>42</v>
      </c>
    </row>
    <row r="2" spans="2:5" ht="17.25" customHeight="1">
      <c r="B2" s="200" t="s">
        <v>43</v>
      </c>
      <c r="C2" s="201" t="s">
        <v>44</v>
      </c>
      <c r="D2" s="364" t="s">
        <v>45</v>
      </c>
      <c r="E2" s="202" t="s">
        <v>46</v>
      </c>
    </row>
    <row r="3" spans="2:5" ht="17.25" customHeight="1">
      <c r="B3" s="203" t="s">
        <v>47</v>
      </c>
      <c r="C3" s="204" t="s">
        <v>48</v>
      </c>
      <c r="D3" s="365"/>
      <c r="E3" s="205" t="s">
        <v>49</v>
      </c>
    </row>
    <row r="4" spans="2:5" ht="17.25" customHeight="1">
      <c r="B4" s="237" t="s">
        <v>50</v>
      </c>
      <c r="C4" s="258" t="s">
        <v>51</v>
      </c>
      <c r="D4" s="358" t="s">
        <v>52</v>
      </c>
      <c r="E4" s="361" t="s">
        <v>53</v>
      </c>
    </row>
    <row r="5" spans="2:5" ht="17.25" customHeight="1">
      <c r="B5" s="237" t="s">
        <v>54</v>
      </c>
      <c r="C5" s="258" t="s">
        <v>55</v>
      </c>
      <c r="D5" s="359"/>
      <c r="E5" s="362"/>
    </row>
    <row r="6" spans="2:5" ht="17.25" customHeight="1">
      <c r="B6" s="237" t="s">
        <v>56</v>
      </c>
      <c r="C6" s="258" t="s">
        <v>57</v>
      </c>
      <c r="D6" s="359"/>
      <c r="E6" s="362"/>
    </row>
    <row r="7" spans="2:5" ht="17.25" customHeight="1">
      <c r="B7" s="237" t="s">
        <v>58</v>
      </c>
      <c r="C7" s="258" t="s">
        <v>59</v>
      </c>
      <c r="D7" s="359"/>
      <c r="E7" s="362"/>
    </row>
    <row r="8" spans="2:5" ht="17.25" customHeight="1">
      <c r="B8" s="259" t="s">
        <v>60</v>
      </c>
      <c r="C8" s="260" t="s">
        <v>61</v>
      </c>
      <c r="D8" s="359"/>
      <c r="E8" s="362"/>
    </row>
    <row r="9" spans="2:5" ht="17.25" customHeight="1">
      <c r="B9" s="237" t="s">
        <v>62</v>
      </c>
      <c r="C9" s="261" t="s">
        <v>63</v>
      </c>
      <c r="D9" s="359"/>
      <c r="E9" s="362"/>
    </row>
    <row r="10" spans="2:5" ht="17.25" customHeight="1">
      <c r="B10" s="238" t="s">
        <v>64</v>
      </c>
      <c r="C10" s="258" t="s">
        <v>65</v>
      </c>
      <c r="D10" s="359"/>
      <c r="E10" s="362"/>
    </row>
    <row r="11" spans="2:5" ht="17.25" customHeight="1">
      <c r="B11" s="262" t="s">
        <v>66</v>
      </c>
      <c r="C11" s="258" t="s">
        <v>67</v>
      </c>
      <c r="D11" s="359"/>
      <c r="E11" s="362"/>
    </row>
    <row r="12" spans="2:5" ht="17.25" customHeight="1">
      <c r="B12" s="262" t="s">
        <v>68</v>
      </c>
      <c r="C12" s="258" t="s">
        <v>69</v>
      </c>
      <c r="D12" s="359"/>
      <c r="E12" s="362"/>
    </row>
    <row r="13" spans="2:5" ht="17.25" customHeight="1">
      <c r="B13" s="237" t="s">
        <v>70</v>
      </c>
      <c r="C13" s="258" t="s">
        <v>71</v>
      </c>
      <c r="D13" s="359"/>
      <c r="E13" s="362"/>
    </row>
    <row r="14" spans="2:5" ht="17.25" customHeight="1" thickBot="1">
      <c r="B14" s="239" t="s">
        <v>72</v>
      </c>
      <c r="C14" s="263" t="s">
        <v>73</v>
      </c>
      <c r="D14" s="360"/>
      <c r="E14" s="363"/>
    </row>
    <row r="15" spans="2:5" ht="17.25" customHeight="1">
      <c r="B15" s="203" t="s">
        <v>74</v>
      </c>
      <c r="C15" s="204" t="s">
        <v>75</v>
      </c>
      <c r="D15" s="366" t="s">
        <v>76</v>
      </c>
      <c r="E15" s="368" t="s">
        <v>77</v>
      </c>
    </row>
    <row r="16" spans="2:5" ht="17.25" customHeight="1" thickBot="1">
      <c r="B16" s="206" t="s">
        <v>78</v>
      </c>
      <c r="C16" s="207" t="s">
        <v>79</v>
      </c>
      <c r="D16" s="367"/>
      <c r="E16" s="369"/>
    </row>
    <row r="17" spans="2:5" ht="3.75" customHeight="1">
      <c r="B17" s="208"/>
      <c r="C17" s="209"/>
      <c r="D17" s="210"/>
      <c r="E17" s="211"/>
    </row>
    <row r="18" spans="2:5" ht="17.25" customHeight="1"/>
    <row r="19" spans="2:5" ht="17.25" customHeight="1">
      <c r="B19" s="212" t="s">
        <v>80</v>
      </c>
      <c r="C19" s="212"/>
      <c r="D19" s="212"/>
      <c r="E19" s="212"/>
    </row>
    <row r="20" spans="2:5" s="212" customFormat="1" ht="19.5" customHeight="1">
      <c r="B20" s="194" t="s">
        <v>81</v>
      </c>
      <c r="C20" s="194"/>
      <c r="D20" s="194"/>
      <c r="E20" s="194"/>
    </row>
    <row r="21" spans="2:5" ht="19.5" customHeight="1">
      <c r="B21" s="194" t="s">
        <v>82</v>
      </c>
    </row>
    <row r="22" spans="2:5" ht="19.5" customHeight="1">
      <c r="B22" s="194" t="s">
        <v>900</v>
      </c>
    </row>
    <row r="23" spans="2:5" ht="19.5" customHeight="1">
      <c r="B23" s="194" t="s">
        <v>83</v>
      </c>
    </row>
    <row r="24" spans="2:5" ht="19.5" customHeight="1">
      <c r="B24" s="194" t="s">
        <v>84</v>
      </c>
    </row>
    <row r="25" spans="2:5" ht="19.5" customHeight="1">
      <c r="B25" s="194" t="s">
        <v>85</v>
      </c>
    </row>
    <row r="26" spans="2:5" ht="19.5" customHeight="1">
      <c r="B26" s="194" t="s">
        <v>86</v>
      </c>
    </row>
    <row r="27" spans="2:5" ht="19.5" customHeight="1">
      <c r="B27" s="194" t="s">
        <v>87</v>
      </c>
    </row>
    <row r="28" spans="2:5" ht="19.5" customHeight="1">
      <c r="B28" s="194" t="s">
        <v>88</v>
      </c>
    </row>
    <row r="29" spans="2:5" ht="19.5" customHeight="1">
      <c r="B29" s="194" t="s">
        <v>89</v>
      </c>
    </row>
    <row r="30" spans="2:5" ht="19.5" customHeight="1"/>
  </sheetData>
  <sheetProtection algorithmName="SHA-512" hashValue="1qdXbqLBo6VMucNFvUluE9qw157Us9VFVQE7qgCwpgiUqeykZ78SV8U40ToBDGKwKB9ioVTDnOCGVTcLNh3nsg==" saltValue="OWEH4e3tjeJa3Z4LrpLiqg==" spinCount="100000" sheet="1" selectLockedCells="1"/>
  <customSheetViews>
    <customSheetView guid="{35D388E4-CC07-43EA-A28A-E86A81E2BB3C}">
      <selection activeCell="E30" sqref="E30"/>
      <pageMargins left="0" right="0" top="0" bottom="0" header="0" footer="0"/>
      <pageSetup paperSize="9" orientation="portrait" r:id="rId1"/>
    </customSheetView>
  </customSheetViews>
  <mergeCells count="5">
    <mergeCell ref="D4:D14"/>
    <mergeCell ref="E4:E14"/>
    <mergeCell ref="D2:D3"/>
    <mergeCell ref="D15:D16"/>
    <mergeCell ref="E15:E16"/>
  </mergeCells>
  <phoneticPr fontId="3" type="noConversion"/>
  <printOptions horizontalCentered="1"/>
  <pageMargins left="0.15748031496062992" right="0.15748031496062992" top="0.6" bottom="0.19685039370078741" header="0.19685039370078741" footer="0.19685039370078741"/>
  <pageSetup paperSize="9" scale="72" orientation="landscape" cellComments="asDisplayed"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FB92-5783-44F6-857F-EF151D493142}">
  <sheetPr codeName="工作表2"/>
  <dimension ref="A1:AI962"/>
  <sheetViews>
    <sheetView showGridLines="0" topLeftCell="N1" zoomScale="90" zoomScaleNormal="90" workbookViewId="0">
      <pane ySplit="1" topLeftCell="A118" activePane="bottomLeft" state="frozen"/>
      <selection pane="bottomLeft" activeCell="Y1" sqref="Y1:Y1048576"/>
    </sheetView>
  </sheetViews>
  <sheetFormatPr defaultColWidth="13.21875" defaultRowHeight="15" customHeight="1"/>
  <cols>
    <col min="1" max="1" width="3.44140625" style="66" customWidth="1"/>
    <col min="2" max="2" width="8" style="66" customWidth="1"/>
    <col min="3" max="3" width="10.33203125" style="66" customWidth="1"/>
    <col min="4" max="4" width="12.44140625" style="66" customWidth="1"/>
    <col min="5" max="5" width="6.33203125" style="66" customWidth="1"/>
    <col min="6" max="6" width="9.44140625" style="66" customWidth="1"/>
    <col min="7" max="7" width="24.109375" style="66" bestFit="1" customWidth="1"/>
    <col min="8" max="8" width="11" style="66" customWidth="1"/>
    <col min="9" max="9" width="1" style="66" customWidth="1"/>
    <col min="10" max="10" width="8" style="66" customWidth="1"/>
    <col min="11" max="11" width="1.33203125" style="66" customWidth="1"/>
    <col min="12" max="12" width="10.88671875" style="66" bestFit="1" customWidth="1"/>
    <col min="13" max="13" width="1.21875" style="66" customWidth="1"/>
    <col min="14" max="14" width="8.88671875" style="66" customWidth="1"/>
    <col min="15" max="15" width="0.88671875" style="66" customWidth="1"/>
    <col min="16" max="16" width="10" style="66" customWidth="1"/>
    <col min="17" max="17" width="1" style="66" customWidth="1"/>
    <col min="18" max="18" width="15" style="66" customWidth="1"/>
    <col min="19" max="19" width="11.77734375" style="66" customWidth="1"/>
    <col min="20" max="20" width="8" style="66" customWidth="1"/>
    <col min="21" max="21" width="17" style="66" customWidth="1"/>
    <col min="22" max="22" width="10.109375" style="66" customWidth="1"/>
    <col min="23" max="23" width="16.6640625" style="66" customWidth="1"/>
    <col min="24" max="24" width="13.21875" style="66" customWidth="1"/>
    <col min="25" max="25" width="13.21875" style="75" customWidth="1"/>
    <col min="26" max="26" width="34.6640625" style="66" customWidth="1"/>
    <col min="27" max="27" width="18.109375" style="255" bestFit="1" customWidth="1"/>
    <col min="28" max="28" width="1.109375" style="66" customWidth="1"/>
    <col min="29" max="31" width="13.21875" style="66" customWidth="1"/>
    <col min="32" max="32" width="1.109375" style="66" customWidth="1"/>
    <col min="33" max="33" width="20.44140625" style="66" bestFit="1" customWidth="1"/>
    <col min="34" max="34" width="1.21875" style="66" customWidth="1"/>
    <col min="35" max="35" width="47.88671875" style="255" bestFit="1" customWidth="1"/>
    <col min="36" max="16384" width="13.21875" style="66"/>
  </cols>
  <sheetData>
    <row r="1" spans="1:35" ht="13.8">
      <c r="A1" s="62" t="s">
        <v>90</v>
      </c>
      <c r="B1" s="63" t="s">
        <v>91</v>
      </c>
      <c r="C1" s="63" t="s">
        <v>92</v>
      </c>
      <c r="D1" s="63" t="s">
        <v>93</v>
      </c>
      <c r="E1" s="63" t="s">
        <v>94</v>
      </c>
      <c r="F1" s="63" t="s">
        <v>95</v>
      </c>
      <c r="G1" s="63" t="s">
        <v>96</v>
      </c>
      <c r="H1" s="64" t="s">
        <v>97</v>
      </c>
      <c r="I1" s="65"/>
      <c r="J1" s="67" t="s">
        <v>98</v>
      </c>
      <c r="L1" s="67" t="s">
        <v>99</v>
      </c>
      <c r="N1" s="67" t="s">
        <v>100</v>
      </c>
      <c r="P1" s="67" t="s">
        <v>101</v>
      </c>
      <c r="R1" s="62" t="s">
        <v>93</v>
      </c>
      <c r="S1" s="77" t="s">
        <v>102</v>
      </c>
      <c r="T1" s="77" t="s">
        <v>103</v>
      </c>
      <c r="U1" s="77" t="s">
        <v>104</v>
      </c>
      <c r="V1" s="77" t="s">
        <v>105</v>
      </c>
      <c r="W1" s="77" t="s">
        <v>106</v>
      </c>
      <c r="X1" s="77" t="s">
        <v>107</v>
      </c>
      <c r="Y1" s="78" t="s">
        <v>108</v>
      </c>
      <c r="Z1" s="77" t="s">
        <v>109</v>
      </c>
      <c r="AA1" s="254" t="s">
        <v>110</v>
      </c>
      <c r="AC1" s="62" t="s">
        <v>93</v>
      </c>
      <c r="AD1" s="77" t="s">
        <v>111</v>
      </c>
      <c r="AE1" s="79" t="s">
        <v>112</v>
      </c>
      <c r="AG1" s="67" t="s">
        <v>105</v>
      </c>
      <c r="AI1" s="256" t="s">
        <v>113</v>
      </c>
    </row>
    <row r="2" spans="1:35" ht="13.8">
      <c r="A2" s="68">
        <f>ROW()-1</f>
        <v>1</v>
      </c>
      <c r="B2" s="69" t="s">
        <v>114</v>
      </c>
      <c r="C2" s="69" t="s">
        <v>115</v>
      </c>
      <c r="D2" s="69" t="s">
        <v>116</v>
      </c>
      <c r="E2" s="69" t="s">
        <v>117</v>
      </c>
      <c r="F2" s="69" t="s">
        <v>115</v>
      </c>
      <c r="G2" s="70" t="s">
        <v>118</v>
      </c>
      <c r="H2" s="71" t="s">
        <v>119</v>
      </c>
      <c r="J2" s="72" t="s">
        <v>120</v>
      </c>
      <c r="L2" s="72" t="s">
        <v>121</v>
      </c>
      <c r="N2" s="72" t="s">
        <v>122</v>
      </c>
      <c r="P2" s="72" t="s">
        <v>123</v>
      </c>
      <c r="R2" s="68" t="s">
        <v>124</v>
      </c>
      <c r="S2" s="70" t="s">
        <v>125</v>
      </c>
      <c r="T2" s="70" t="s">
        <v>126</v>
      </c>
      <c r="U2" s="70" t="str">
        <f>S2&amp;R2</f>
        <v>AD管理部</v>
      </c>
      <c r="V2" s="70" t="s">
        <v>127</v>
      </c>
      <c r="W2" s="70" t="s">
        <v>128</v>
      </c>
      <c r="X2" s="70" t="s">
        <v>129</v>
      </c>
      <c r="Y2" s="80">
        <v>-4063966</v>
      </c>
      <c r="Z2" s="70" t="str">
        <f t="shared" ref="Z2:Z14" si="0">U2&amp;X2</f>
        <v>AD管理部人事費(薪資、各項獎金)</v>
      </c>
      <c r="AA2" s="253" t="str">
        <f>IF(OR(X2="旅費", X2="折舊及攤銷"), "無預算", IF(AND(ISNUMBER(Y2), Y2&lt;&gt;0), W2, "無預算"))</f>
        <v>115ADSE01</v>
      </c>
      <c r="AC2" s="68" t="s">
        <v>124</v>
      </c>
      <c r="AD2" s="70" t="s">
        <v>125</v>
      </c>
      <c r="AE2" s="71" t="s">
        <v>130</v>
      </c>
      <c r="AG2" s="76" t="s">
        <v>131</v>
      </c>
      <c r="AI2" s="113" t="str">
        <f t="shared" ref="AI2:AI9" si="1">AC2</f>
        <v>管理部</v>
      </c>
    </row>
    <row r="3" spans="1:35" ht="13.8">
      <c r="A3" s="68">
        <f t="shared" ref="A3:A40" si="2">ROW()-1</f>
        <v>2</v>
      </c>
      <c r="B3" s="69" t="s">
        <v>132</v>
      </c>
      <c r="C3" s="69" t="s">
        <v>119</v>
      </c>
      <c r="D3" s="69" t="s">
        <v>133</v>
      </c>
      <c r="E3" s="69" t="s">
        <v>134</v>
      </c>
      <c r="F3" s="69" t="s">
        <v>119</v>
      </c>
      <c r="G3" s="70" t="s">
        <v>135</v>
      </c>
      <c r="H3" s="71" t="s">
        <v>115</v>
      </c>
      <c r="J3" s="72" t="s">
        <v>136</v>
      </c>
      <c r="L3" s="72" t="s">
        <v>137</v>
      </c>
      <c r="N3" s="72" t="s">
        <v>138</v>
      </c>
      <c r="P3" s="72" t="s">
        <v>139</v>
      </c>
      <c r="R3" s="68" t="s">
        <v>124</v>
      </c>
      <c r="S3" s="70" t="s">
        <v>125</v>
      </c>
      <c r="T3" s="70" t="s">
        <v>126</v>
      </c>
      <c r="U3" s="70" t="str">
        <f t="shared" ref="U3:U67" si="3">S3&amp;R3</f>
        <v>AD管理部</v>
      </c>
      <c r="V3" s="70" t="s">
        <v>50</v>
      </c>
      <c r="W3" s="70" t="s">
        <v>140</v>
      </c>
      <c r="X3" s="70" t="s">
        <v>50</v>
      </c>
      <c r="Y3" s="80">
        <v>-1002000</v>
      </c>
      <c r="Z3" s="70" t="str">
        <f t="shared" si="0"/>
        <v>AD管理部租金支出</v>
      </c>
      <c r="AA3" s="253" t="str">
        <f t="shared" ref="AA3:AA67" si="4">IF(OR(X3="旅費", X3="折舊及攤銷"), "無預算", IF(AND(ISNUMBER(Y3), Y3&lt;&gt;0), W3, "無預算"))</f>
        <v>115ADSE02</v>
      </c>
      <c r="AC3" s="68" t="s">
        <v>141</v>
      </c>
      <c r="AD3" s="70" t="s">
        <v>142</v>
      </c>
      <c r="AE3" s="71" t="s">
        <v>143</v>
      </c>
      <c r="AG3" s="72" t="s">
        <v>129</v>
      </c>
      <c r="AI3" s="113" t="str">
        <f t="shared" si="1"/>
        <v>自動駕駛系統部</v>
      </c>
    </row>
    <row r="4" spans="1:35" ht="13.8">
      <c r="A4" s="68">
        <f t="shared" si="2"/>
        <v>3</v>
      </c>
      <c r="B4" s="69" t="s">
        <v>144</v>
      </c>
      <c r="C4" s="69" t="s">
        <v>145</v>
      </c>
      <c r="D4" s="70" t="s">
        <v>124</v>
      </c>
      <c r="E4" s="70" t="s">
        <v>125</v>
      </c>
      <c r="F4" s="69" t="s">
        <v>130</v>
      </c>
      <c r="G4" s="70" t="s">
        <v>146</v>
      </c>
      <c r="H4" s="71" t="s">
        <v>119</v>
      </c>
      <c r="J4" s="72" t="s">
        <v>147</v>
      </c>
      <c r="L4" s="72" t="s">
        <v>148</v>
      </c>
      <c r="N4" s="72" t="s">
        <v>149</v>
      </c>
      <c r="P4" s="72" t="s">
        <v>150</v>
      </c>
      <c r="R4" s="68" t="s">
        <v>124</v>
      </c>
      <c r="S4" s="70" t="s">
        <v>125</v>
      </c>
      <c r="T4" s="70" t="s">
        <v>126</v>
      </c>
      <c r="U4" s="70" t="str">
        <f t="shared" si="3"/>
        <v>AD管理部</v>
      </c>
      <c r="V4" s="70" t="s">
        <v>151</v>
      </c>
      <c r="W4" s="70" t="s">
        <v>152</v>
      </c>
      <c r="X4" s="70" t="s">
        <v>151</v>
      </c>
      <c r="Y4" s="80">
        <v>0</v>
      </c>
      <c r="Z4" s="70" t="str">
        <f t="shared" si="0"/>
        <v>AD管理部旅費</v>
      </c>
      <c r="AA4" s="253" t="str">
        <f t="shared" si="4"/>
        <v>無預算</v>
      </c>
      <c r="AC4" s="68" t="s">
        <v>153</v>
      </c>
      <c r="AD4" s="70" t="s">
        <v>154</v>
      </c>
      <c r="AE4" s="71" t="s">
        <v>115</v>
      </c>
      <c r="AG4" s="72" t="s">
        <v>50</v>
      </c>
      <c r="AI4" s="113" t="str">
        <f t="shared" si="1"/>
        <v>營業行銷部</v>
      </c>
    </row>
    <row r="5" spans="1:35" ht="13.8">
      <c r="A5" s="68">
        <f t="shared" si="2"/>
        <v>4</v>
      </c>
      <c r="B5" s="69" t="s">
        <v>155</v>
      </c>
      <c r="C5" s="69" t="s">
        <v>156</v>
      </c>
      <c r="D5" s="111" t="s">
        <v>141</v>
      </c>
      <c r="E5" s="111" t="s">
        <v>142</v>
      </c>
      <c r="F5" s="110" t="s">
        <v>143</v>
      </c>
      <c r="G5" s="70" t="s">
        <v>157</v>
      </c>
      <c r="H5" s="71" t="s">
        <v>119</v>
      </c>
      <c r="J5" s="72" t="s">
        <v>158</v>
      </c>
      <c r="L5" s="72" t="s">
        <v>159</v>
      </c>
      <c r="N5" s="72" t="s">
        <v>160</v>
      </c>
      <c r="P5" s="72" t="s">
        <v>161</v>
      </c>
      <c r="R5" s="68" t="s">
        <v>124</v>
      </c>
      <c r="S5" s="70" t="s">
        <v>125</v>
      </c>
      <c r="T5" s="70" t="s">
        <v>126</v>
      </c>
      <c r="U5" s="70" t="str">
        <f t="shared" si="3"/>
        <v>AD管理部</v>
      </c>
      <c r="V5" s="70" t="s">
        <v>70</v>
      </c>
      <c r="W5" s="70" t="s">
        <v>162</v>
      </c>
      <c r="X5" s="70" t="s">
        <v>70</v>
      </c>
      <c r="Y5" s="80">
        <v>-3600</v>
      </c>
      <c r="Z5" s="70" t="str">
        <f t="shared" si="0"/>
        <v>AD管理部運費</v>
      </c>
      <c r="AA5" s="253" t="str">
        <f t="shared" si="4"/>
        <v>115ADSE04</v>
      </c>
      <c r="AC5" s="68" t="s">
        <v>116</v>
      </c>
      <c r="AD5" s="70" t="s">
        <v>117</v>
      </c>
      <c r="AE5" s="71" t="s">
        <v>115</v>
      </c>
      <c r="AG5" s="72" t="s">
        <v>70</v>
      </c>
      <c r="AI5" s="113" t="str">
        <f t="shared" si="1"/>
        <v>董事長室</v>
      </c>
    </row>
    <row r="6" spans="1:35" ht="13.8">
      <c r="A6" s="68">
        <f t="shared" si="2"/>
        <v>5</v>
      </c>
      <c r="B6" s="69" t="s">
        <v>163</v>
      </c>
      <c r="C6" s="69" t="s">
        <v>164</v>
      </c>
      <c r="D6" s="111" t="s">
        <v>141</v>
      </c>
      <c r="E6" s="111" t="s">
        <v>142</v>
      </c>
      <c r="F6" s="110" t="s">
        <v>143</v>
      </c>
      <c r="G6" s="70" t="s">
        <v>165</v>
      </c>
      <c r="H6" s="71" t="s">
        <v>119</v>
      </c>
      <c r="J6" s="72" t="s">
        <v>166</v>
      </c>
      <c r="L6" s="72" t="s">
        <v>167</v>
      </c>
      <c r="N6" s="72" t="s">
        <v>168</v>
      </c>
      <c r="P6" s="72" t="s">
        <v>169</v>
      </c>
      <c r="R6" s="68" t="s">
        <v>124</v>
      </c>
      <c r="S6" s="70" t="s">
        <v>125</v>
      </c>
      <c r="T6" s="70" t="s">
        <v>126</v>
      </c>
      <c r="U6" s="70" t="str">
        <f t="shared" si="3"/>
        <v>AD管理部</v>
      </c>
      <c r="V6" s="70" t="s">
        <v>62</v>
      </c>
      <c r="W6" s="70" t="s">
        <v>170</v>
      </c>
      <c r="X6" s="70" t="s">
        <v>62</v>
      </c>
      <c r="Y6" s="80">
        <v>-42000</v>
      </c>
      <c r="Z6" s="70" t="str">
        <f t="shared" si="0"/>
        <v>AD管理部郵電費</v>
      </c>
      <c r="AA6" s="253" t="str">
        <f t="shared" si="4"/>
        <v>115ADSE05</v>
      </c>
      <c r="AC6" s="68" t="s">
        <v>133</v>
      </c>
      <c r="AD6" s="70" t="s">
        <v>134</v>
      </c>
      <c r="AE6" s="71" t="s">
        <v>119</v>
      </c>
      <c r="AG6" s="72" t="s">
        <v>62</v>
      </c>
      <c r="AI6" s="113" t="str">
        <f t="shared" si="1"/>
        <v>總經理室</v>
      </c>
    </row>
    <row r="7" spans="1:35" ht="13.8">
      <c r="A7" s="68">
        <f t="shared" si="2"/>
        <v>6</v>
      </c>
      <c r="B7" s="69" t="s">
        <v>171</v>
      </c>
      <c r="C7" s="69" t="s">
        <v>172</v>
      </c>
      <c r="D7" s="111" t="s">
        <v>141</v>
      </c>
      <c r="E7" s="111" t="s">
        <v>142</v>
      </c>
      <c r="F7" s="110" t="s">
        <v>143</v>
      </c>
      <c r="G7" s="70" t="s">
        <v>173</v>
      </c>
      <c r="H7" s="71" t="s">
        <v>119</v>
      </c>
      <c r="J7" s="72" t="s">
        <v>174</v>
      </c>
      <c r="L7" s="72"/>
      <c r="N7" s="72" t="s">
        <v>175</v>
      </c>
      <c r="P7" s="72" t="s">
        <v>176</v>
      </c>
      <c r="R7" s="68" t="s">
        <v>124</v>
      </c>
      <c r="S7" s="70" t="s">
        <v>125</v>
      </c>
      <c r="T7" s="70" t="s">
        <v>126</v>
      </c>
      <c r="U7" s="70" t="str">
        <f t="shared" si="3"/>
        <v>AD管理部</v>
      </c>
      <c r="V7" s="70" t="s">
        <v>177</v>
      </c>
      <c r="W7" s="70" t="s">
        <v>178</v>
      </c>
      <c r="X7" s="70" t="s">
        <v>177</v>
      </c>
      <c r="Y7" s="80">
        <v>0</v>
      </c>
      <c r="Z7" s="70" t="str">
        <f t="shared" si="0"/>
        <v>AD管理部修繕費</v>
      </c>
      <c r="AA7" s="253" t="str">
        <f t="shared" si="4"/>
        <v>無預算</v>
      </c>
      <c r="AC7" s="68" t="s">
        <v>179</v>
      </c>
      <c r="AD7" s="70" t="s">
        <v>180</v>
      </c>
      <c r="AE7" s="71" t="s">
        <v>143</v>
      </c>
      <c r="AG7" s="72" t="s">
        <v>177</v>
      </c>
      <c r="AI7" s="113" t="str">
        <f t="shared" si="1"/>
        <v>資料與雲端平台部</v>
      </c>
    </row>
    <row r="8" spans="1:35" ht="14.4" thickBot="1">
      <c r="A8" s="68">
        <f t="shared" si="2"/>
        <v>7</v>
      </c>
      <c r="B8" s="69" t="s">
        <v>181</v>
      </c>
      <c r="C8" s="69" t="s">
        <v>182</v>
      </c>
      <c r="D8" s="111" t="s">
        <v>141</v>
      </c>
      <c r="E8" s="111" t="s">
        <v>142</v>
      </c>
      <c r="F8" s="110" t="s">
        <v>143</v>
      </c>
      <c r="G8" s="70" t="s">
        <v>183</v>
      </c>
      <c r="H8" s="71" t="s">
        <v>119</v>
      </c>
      <c r="J8" s="73" t="s">
        <v>184</v>
      </c>
      <c r="L8" s="73"/>
      <c r="N8" s="72" t="s">
        <v>185</v>
      </c>
      <c r="P8" s="72" t="s">
        <v>186</v>
      </c>
      <c r="R8" s="68" t="s">
        <v>124</v>
      </c>
      <c r="S8" s="70" t="s">
        <v>125</v>
      </c>
      <c r="T8" s="70" t="s">
        <v>126</v>
      </c>
      <c r="U8" s="70" t="str">
        <f t="shared" si="3"/>
        <v>AD管理部</v>
      </c>
      <c r="V8" s="70" t="s">
        <v>54</v>
      </c>
      <c r="W8" s="70" t="s">
        <v>187</v>
      </c>
      <c r="X8" s="70" t="s">
        <v>54</v>
      </c>
      <c r="Y8" s="80">
        <v>0</v>
      </c>
      <c r="Z8" s="70" t="str">
        <f t="shared" si="0"/>
        <v>AD管理部廣告費</v>
      </c>
      <c r="AA8" s="253" t="str">
        <f t="shared" si="4"/>
        <v>無預算</v>
      </c>
      <c r="AC8" s="68" t="s">
        <v>188</v>
      </c>
      <c r="AD8" s="70" t="s">
        <v>189</v>
      </c>
      <c r="AE8" s="71" t="s">
        <v>190</v>
      </c>
      <c r="AG8" s="72" t="s">
        <v>54</v>
      </c>
      <c r="AI8" s="113" t="str">
        <f t="shared" si="1"/>
        <v>產品部</v>
      </c>
    </row>
    <row r="9" spans="1:35" ht="13.8">
      <c r="A9" s="68">
        <f t="shared" si="2"/>
        <v>8</v>
      </c>
      <c r="B9" s="69" t="s">
        <v>191</v>
      </c>
      <c r="C9" s="69" t="s">
        <v>192</v>
      </c>
      <c r="D9" s="111" t="s">
        <v>141</v>
      </c>
      <c r="E9" s="111" t="s">
        <v>142</v>
      </c>
      <c r="F9" s="110" t="s">
        <v>143</v>
      </c>
      <c r="G9" s="70" t="s">
        <v>183</v>
      </c>
      <c r="H9" s="71" t="s">
        <v>119</v>
      </c>
      <c r="N9" s="72" t="s">
        <v>193</v>
      </c>
      <c r="P9" s="72" t="s">
        <v>194</v>
      </c>
      <c r="R9" s="68" t="s">
        <v>124</v>
      </c>
      <c r="S9" s="70" t="s">
        <v>125</v>
      </c>
      <c r="T9" s="70" t="s">
        <v>126</v>
      </c>
      <c r="U9" s="70" t="str">
        <f t="shared" si="3"/>
        <v>AD管理部</v>
      </c>
      <c r="V9" s="70" t="s">
        <v>195</v>
      </c>
      <c r="W9" s="70" t="s">
        <v>196</v>
      </c>
      <c r="X9" s="70" t="s">
        <v>195</v>
      </c>
      <c r="Y9" s="80">
        <v>-572072</v>
      </c>
      <c r="Z9" s="70" t="str">
        <f t="shared" si="0"/>
        <v>AD管理部保險費</v>
      </c>
      <c r="AA9" s="253" t="str">
        <f t="shared" si="4"/>
        <v>115ADSE08</v>
      </c>
      <c r="AC9" s="68" t="s">
        <v>197</v>
      </c>
      <c r="AD9" s="70" t="s">
        <v>198</v>
      </c>
      <c r="AE9" s="71" t="s">
        <v>199</v>
      </c>
      <c r="AG9" s="72" t="s">
        <v>195</v>
      </c>
      <c r="AI9" s="113" t="str">
        <f t="shared" si="1"/>
        <v>車輛開發部</v>
      </c>
    </row>
    <row r="10" spans="1:35" ht="13.8">
      <c r="A10" s="68">
        <f t="shared" si="2"/>
        <v>9</v>
      </c>
      <c r="B10" s="69" t="s">
        <v>200</v>
      </c>
      <c r="C10" s="69" t="s">
        <v>199</v>
      </c>
      <c r="D10" s="111" t="s">
        <v>201</v>
      </c>
      <c r="E10" s="111" t="s">
        <v>202</v>
      </c>
      <c r="F10" s="110" t="s">
        <v>203</v>
      </c>
      <c r="G10" s="70" t="s">
        <v>204</v>
      </c>
      <c r="H10" s="71" t="s">
        <v>119</v>
      </c>
      <c r="N10" s="72" t="s">
        <v>205</v>
      </c>
      <c r="P10" s="72" t="s">
        <v>206</v>
      </c>
      <c r="R10" s="68" t="s">
        <v>124</v>
      </c>
      <c r="S10" s="70" t="s">
        <v>125</v>
      </c>
      <c r="T10" s="70" t="s">
        <v>126</v>
      </c>
      <c r="U10" s="70" t="str">
        <f t="shared" si="3"/>
        <v>AD管理部</v>
      </c>
      <c r="V10" s="70" t="s">
        <v>74</v>
      </c>
      <c r="W10" s="70" t="s">
        <v>207</v>
      </c>
      <c r="X10" s="70" t="s">
        <v>74</v>
      </c>
      <c r="Y10" s="80">
        <v>-6000</v>
      </c>
      <c r="Z10" s="70" t="str">
        <f t="shared" si="0"/>
        <v>AD管理部交際費</v>
      </c>
      <c r="AA10" s="253" t="str">
        <f t="shared" si="4"/>
        <v>115ADSE09</v>
      </c>
      <c r="AC10" s="251" t="s">
        <v>208</v>
      </c>
      <c r="AD10" s="252" t="s">
        <v>209</v>
      </c>
      <c r="AE10" s="253" t="s">
        <v>210</v>
      </c>
      <c r="AG10" s="72" t="s">
        <v>74</v>
      </c>
      <c r="AI10" s="257" t="s">
        <v>211</v>
      </c>
    </row>
    <row r="11" spans="1:35" ht="13.8">
      <c r="A11" s="68">
        <f t="shared" si="2"/>
        <v>10</v>
      </c>
      <c r="B11" s="69" t="s">
        <v>212</v>
      </c>
      <c r="C11" s="69" t="s">
        <v>213</v>
      </c>
      <c r="D11" s="111" t="s">
        <v>201</v>
      </c>
      <c r="E11" s="111" t="s">
        <v>202</v>
      </c>
      <c r="F11" s="110" t="s">
        <v>203</v>
      </c>
      <c r="G11" s="70" t="s">
        <v>214</v>
      </c>
      <c r="H11" s="71" t="s">
        <v>119</v>
      </c>
      <c r="N11" s="72" t="s">
        <v>215</v>
      </c>
      <c r="P11" s="72" t="s">
        <v>216</v>
      </c>
      <c r="R11" s="68" t="s">
        <v>124</v>
      </c>
      <c r="S11" s="70" t="s">
        <v>125</v>
      </c>
      <c r="T11" s="70" t="s">
        <v>126</v>
      </c>
      <c r="U11" s="70" t="str">
        <f t="shared" si="3"/>
        <v>AD管理部</v>
      </c>
      <c r="V11" s="70" t="s">
        <v>217</v>
      </c>
      <c r="W11" s="70" t="s">
        <v>218</v>
      </c>
      <c r="X11" s="70" t="s">
        <v>217</v>
      </c>
      <c r="Y11" s="80">
        <v>-54144</v>
      </c>
      <c r="Z11" s="70" t="str">
        <f t="shared" si="0"/>
        <v>AD管理部折舊及攤銷</v>
      </c>
      <c r="AA11" s="253" t="str">
        <f t="shared" si="4"/>
        <v>無預算</v>
      </c>
      <c r="AC11" s="251" t="s">
        <v>219</v>
      </c>
      <c r="AD11" s="252" t="s">
        <v>220</v>
      </c>
      <c r="AE11" s="253" t="s">
        <v>210</v>
      </c>
      <c r="AG11" s="72" t="s">
        <v>78</v>
      </c>
      <c r="AI11" s="112" t="str">
        <f>AC10</f>
        <v>亞灣2.0:5G a lot規模化加值感育樂服務創新應用計畫</v>
      </c>
    </row>
    <row r="12" spans="1:35" ht="13.8">
      <c r="A12" s="68">
        <f t="shared" si="2"/>
        <v>11</v>
      </c>
      <c r="B12" s="69" t="s">
        <v>221</v>
      </c>
      <c r="C12" s="69" t="s">
        <v>222</v>
      </c>
      <c r="D12" s="70" t="s">
        <v>188</v>
      </c>
      <c r="E12" s="70" t="s">
        <v>189</v>
      </c>
      <c r="F12" s="70" t="s">
        <v>190</v>
      </c>
      <c r="G12" s="70" t="s">
        <v>223</v>
      </c>
      <c r="H12" s="71" t="s">
        <v>119</v>
      </c>
      <c r="N12" s="72" t="s">
        <v>224</v>
      </c>
      <c r="P12" s="72" t="s">
        <v>225</v>
      </c>
      <c r="R12" s="68" t="s">
        <v>124</v>
      </c>
      <c r="S12" s="70" t="s">
        <v>125</v>
      </c>
      <c r="T12" s="70" t="s">
        <v>126</v>
      </c>
      <c r="U12" s="70" t="str">
        <f t="shared" si="3"/>
        <v>AD管理部</v>
      </c>
      <c r="V12" s="70" t="s">
        <v>78</v>
      </c>
      <c r="W12" s="70" t="s">
        <v>226</v>
      </c>
      <c r="X12" s="70" t="s">
        <v>78</v>
      </c>
      <c r="Y12" s="80">
        <v>-263000</v>
      </c>
      <c r="Z12" s="70" t="str">
        <f t="shared" si="0"/>
        <v>AD管理部職工福利</v>
      </c>
      <c r="AA12" s="253" t="str">
        <f t="shared" si="4"/>
        <v>115ADSE11</v>
      </c>
      <c r="AC12" s="251" t="s">
        <v>227</v>
      </c>
      <c r="AD12" s="252" t="s">
        <v>228</v>
      </c>
      <c r="AE12" s="253" t="s">
        <v>229</v>
      </c>
      <c r="AG12" s="72" t="s">
        <v>47</v>
      </c>
      <c r="AI12" s="112" t="str">
        <f t="shared" ref="AI12:AI17" si="5">AC11</f>
        <v>雲科大教具車案(翔和)</v>
      </c>
    </row>
    <row r="13" spans="1:35" ht="13.8">
      <c r="A13" s="68">
        <f t="shared" si="2"/>
        <v>12</v>
      </c>
      <c r="B13" s="69" t="s">
        <v>230</v>
      </c>
      <c r="C13" s="69" t="s">
        <v>231</v>
      </c>
      <c r="D13" s="111" t="s">
        <v>141</v>
      </c>
      <c r="E13" s="111" t="s">
        <v>142</v>
      </c>
      <c r="F13" s="110" t="s">
        <v>143</v>
      </c>
      <c r="G13" s="70" t="s">
        <v>232</v>
      </c>
      <c r="H13" s="71" t="s">
        <v>119</v>
      </c>
      <c r="N13" s="72" t="s">
        <v>233</v>
      </c>
      <c r="P13" s="72" t="s">
        <v>234</v>
      </c>
      <c r="R13" s="68" t="s">
        <v>124</v>
      </c>
      <c r="S13" s="70" t="s">
        <v>125</v>
      </c>
      <c r="T13" s="70" t="s">
        <v>126</v>
      </c>
      <c r="U13" s="70" t="str">
        <f t="shared" si="3"/>
        <v>AD管理部</v>
      </c>
      <c r="V13" s="70" t="s">
        <v>47</v>
      </c>
      <c r="W13" s="70" t="s">
        <v>235</v>
      </c>
      <c r="X13" s="70" t="s">
        <v>47</v>
      </c>
      <c r="Y13" s="80">
        <v>-30000</v>
      </c>
      <c r="Z13" s="70" t="str">
        <f t="shared" si="0"/>
        <v>AD管理部訓練費</v>
      </c>
      <c r="AA13" s="253" t="str">
        <f t="shared" si="4"/>
        <v>115ADSE12</v>
      </c>
      <c r="AC13" s="251" t="s">
        <v>236</v>
      </c>
      <c r="AD13" s="252" t="s">
        <v>237</v>
      </c>
      <c r="AE13" s="253" t="s">
        <v>222</v>
      </c>
      <c r="AG13" s="72" t="s">
        <v>238</v>
      </c>
      <c r="AI13" s="112" t="str">
        <f t="shared" si="5"/>
        <v>宮古島郵輪航廈至海灘一般道路接駁實驗</v>
      </c>
    </row>
    <row r="14" spans="1:35" ht="13.8">
      <c r="A14" s="68">
        <f t="shared" si="2"/>
        <v>13</v>
      </c>
      <c r="B14" s="69" t="s">
        <v>239</v>
      </c>
      <c r="C14" s="69" t="s">
        <v>240</v>
      </c>
      <c r="D14" s="69" t="s">
        <v>133</v>
      </c>
      <c r="E14" s="111" t="s">
        <v>241</v>
      </c>
      <c r="F14" s="110" t="s">
        <v>190</v>
      </c>
      <c r="G14" s="70" t="s">
        <v>204</v>
      </c>
      <c r="H14" s="71" t="s">
        <v>119</v>
      </c>
      <c r="N14" s="72" t="s">
        <v>242</v>
      </c>
      <c r="P14" s="72" t="s">
        <v>243</v>
      </c>
      <c r="R14" s="68" t="s">
        <v>124</v>
      </c>
      <c r="S14" s="70" t="s">
        <v>125</v>
      </c>
      <c r="T14" s="70" t="s">
        <v>126</v>
      </c>
      <c r="U14" s="70" t="str">
        <f t="shared" si="3"/>
        <v>AD管理部</v>
      </c>
      <c r="V14" s="70" t="s">
        <v>238</v>
      </c>
      <c r="W14" s="70" t="s">
        <v>244</v>
      </c>
      <c r="X14" s="70" t="str">
        <f>V14</f>
        <v>開發費</v>
      </c>
      <c r="Y14" s="80">
        <v>0</v>
      </c>
      <c r="Z14" s="70" t="str">
        <f t="shared" si="0"/>
        <v>AD管理部開發費</v>
      </c>
      <c r="AA14" s="253" t="str">
        <f t="shared" si="4"/>
        <v>無預算</v>
      </c>
      <c r="AC14" s="251" t="s">
        <v>245</v>
      </c>
      <c r="AD14" s="252" t="s">
        <v>246</v>
      </c>
      <c r="AE14" s="253" t="s">
        <v>222</v>
      </c>
      <c r="AG14" s="72" t="s">
        <v>56</v>
      </c>
      <c r="AI14" s="112" t="str">
        <f t="shared" si="5"/>
        <v>臺大教具車</v>
      </c>
    </row>
    <row r="15" spans="1:35" ht="14.4" thickBot="1">
      <c r="A15" s="68">
        <f t="shared" si="2"/>
        <v>14</v>
      </c>
      <c r="B15" s="69" t="s">
        <v>247</v>
      </c>
      <c r="C15" s="69" t="s">
        <v>248</v>
      </c>
      <c r="D15" s="111" t="s">
        <v>201</v>
      </c>
      <c r="E15" s="111" t="s">
        <v>202</v>
      </c>
      <c r="F15" s="110" t="s">
        <v>203</v>
      </c>
      <c r="G15" s="70" t="s">
        <v>249</v>
      </c>
      <c r="H15" s="71" t="s">
        <v>119</v>
      </c>
      <c r="N15" s="73" t="s">
        <v>250</v>
      </c>
      <c r="P15" s="73" t="s">
        <v>251</v>
      </c>
      <c r="R15" s="68" t="s">
        <v>124</v>
      </c>
      <c r="S15" s="70" t="s">
        <v>125</v>
      </c>
      <c r="T15" s="70" t="s">
        <v>126</v>
      </c>
      <c r="U15" s="70" t="str">
        <f t="shared" si="3"/>
        <v>AD管理部</v>
      </c>
      <c r="V15" s="70" t="s">
        <v>56</v>
      </c>
      <c r="W15" s="70" t="s">
        <v>252</v>
      </c>
      <c r="X15" s="70" t="s">
        <v>56</v>
      </c>
      <c r="Y15" s="80">
        <v>-630000</v>
      </c>
      <c r="Z15" s="70" t="str">
        <f t="shared" ref="Z15:Z66" si="6">U15&amp;V15</f>
        <v>AD管理部勞務費</v>
      </c>
      <c r="AA15" s="253" t="str">
        <f t="shared" si="4"/>
        <v>115ADSE14</v>
      </c>
      <c r="AC15" s="251" t="s">
        <v>253</v>
      </c>
      <c r="AD15" s="252" t="s">
        <v>254</v>
      </c>
      <c r="AE15" s="253" t="s">
        <v>229</v>
      </c>
      <c r="AG15" s="72" t="s">
        <v>255</v>
      </c>
      <c r="AI15" s="112" t="str">
        <f t="shared" si="5"/>
        <v>7STARLAKE自動駕駛巡邏車與派遣車開發</v>
      </c>
    </row>
    <row r="16" spans="1:35" ht="13.8">
      <c r="A16" s="68">
        <f t="shared" si="2"/>
        <v>15</v>
      </c>
      <c r="B16" s="69" t="s">
        <v>256</v>
      </c>
      <c r="C16" s="69" t="s">
        <v>257</v>
      </c>
      <c r="D16" s="70" t="s">
        <v>188</v>
      </c>
      <c r="E16" s="70" t="s">
        <v>189</v>
      </c>
      <c r="F16" s="70" t="s">
        <v>190</v>
      </c>
      <c r="G16" s="70" t="s">
        <v>258</v>
      </c>
      <c r="H16" s="71" t="s">
        <v>119</v>
      </c>
      <c r="R16" s="68" t="s">
        <v>124</v>
      </c>
      <c r="S16" s="70" t="s">
        <v>125</v>
      </c>
      <c r="T16" s="70" t="s">
        <v>126</v>
      </c>
      <c r="U16" s="70" t="str">
        <f t="shared" si="3"/>
        <v>AD管理部</v>
      </c>
      <c r="V16" s="70" t="s">
        <v>255</v>
      </c>
      <c r="W16" s="70" t="s">
        <v>259</v>
      </c>
      <c r="X16" s="70" t="s">
        <v>255</v>
      </c>
      <c r="Y16" s="80">
        <v>-14400</v>
      </c>
      <c r="Z16" s="70" t="str">
        <f t="shared" si="6"/>
        <v>AD管理部交通費</v>
      </c>
      <c r="AA16" s="253" t="str">
        <f t="shared" si="4"/>
        <v>115ADSE15</v>
      </c>
      <c r="AC16" s="251" t="s">
        <v>260</v>
      </c>
      <c r="AD16" s="252" t="s">
        <v>261</v>
      </c>
      <c r="AE16" s="253" t="s">
        <v>240</v>
      </c>
      <c r="AG16" s="72" t="s">
        <v>262</v>
      </c>
      <c r="AI16" s="112" t="str">
        <f t="shared" si="5"/>
        <v>NSC: remote support</v>
      </c>
    </row>
    <row r="17" spans="1:35" ht="13.8">
      <c r="A17" s="68">
        <f t="shared" si="2"/>
        <v>16</v>
      </c>
      <c r="B17" s="69" t="s">
        <v>263</v>
      </c>
      <c r="C17" s="69" t="s">
        <v>264</v>
      </c>
      <c r="D17" s="111" t="s">
        <v>201</v>
      </c>
      <c r="E17" s="111" t="s">
        <v>202</v>
      </c>
      <c r="F17" s="110" t="s">
        <v>203</v>
      </c>
      <c r="G17" s="70" t="s">
        <v>265</v>
      </c>
      <c r="H17" s="71" t="s">
        <v>119</v>
      </c>
      <c r="R17" s="68" t="s">
        <v>124</v>
      </c>
      <c r="S17" s="70" t="s">
        <v>125</v>
      </c>
      <c r="T17" s="70" t="s">
        <v>126</v>
      </c>
      <c r="U17" s="70" t="str">
        <f t="shared" si="3"/>
        <v>AD管理部</v>
      </c>
      <c r="V17" s="70" t="s">
        <v>262</v>
      </c>
      <c r="W17" s="70" t="s">
        <v>266</v>
      </c>
      <c r="X17" s="70" t="s">
        <v>262</v>
      </c>
      <c r="Y17" s="80">
        <v>0</v>
      </c>
      <c r="Z17" s="70" t="str">
        <f t="shared" si="6"/>
        <v>AD管理部設備</v>
      </c>
      <c r="AA17" s="253" t="str">
        <f t="shared" si="4"/>
        <v>無預算</v>
      </c>
      <c r="AC17" s="251" t="s">
        <v>897</v>
      </c>
      <c r="AD17" s="252" t="s">
        <v>887</v>
      </c>
      <c r="AE17" s="253" t="s">
        <v>203</v>
      </c>
      <c r="AG17" s="72" t="s">
        <v>270</v>
      </c>
      <c r="AI17" s="112" t="str">
        <f t="shared" si="5"/>
        <v>臺灣桃園國際機場第三航站區旅客運輸系統工程-建置車輛監控管理系統</v>
      </c>
    </row>
    <row r="18" spans="1:35" ht="13.8">
      <c r="A18" s="68">
        <f t="shared" si="2"/>
        <v>17</v>
      </c>
      <c r="B18" s="69" t="s">
        <v>271</v>
      </c>
      <c r="C18" s="69" t="s">
        <v>130</v>
      </c>
      <c r="D18" s="70" t="s">
        <v>124</v>
      </c>
      <c r="E18" s="70" t="s">
        <v>125</v>
      </c>
      <c r="F18" s="69" t="s">
        <v>130</v>
      </c>
      <c r="G18" s="70" t="s">
        <v>272</v>
      </c>
      <c r="H18" s="71" t="s">
        <v>119</v>
      </c>
      <c r="R18" s="68" t="s">
        <v>124</v>
      </c>
      <c r="S18" s="70" t="s">
        <v>125</v>
      </c>
      <c r="T18" s="70" t="s">
        <v>126</v>
      </c>
      <c r="U18" s="70" t="str">
        <f t="shared" si="3"/>
        <v>AD管理部</v>
      </c>
      <c r="V18" s="70" t="s">
        <v>270</v>
      </c>
      <c r="W18" s="70" t="s">
        <v>273</v>
      </c>
      <c r="X18" s="70" t="str">
        <f>V18</f>
        <v>雜項購置</v>
      </c>
      <c r="Y18" s="80">
        <v>-60000</v>
      </c>
      <c r="Z18" s="70" t="str">
        <f t="shared" si="6"/>
        <v>AD管理部雜項購置</v>
      </c>
      <c r="AA18" s="253" t="str">
        <f t="shared" si="4"/>
        <v>115ADSE17</v>
      </c>
      <c r="AC18" s="251" t="s">
        <v>905</v>
      </c>
      <c r="AD18" s="252" t="s">
        <v>915</v>
      </c>
      <c r="AE18" s="253" t="s">
        <v>210</v>
      </c>
      <c r="AG18" s="72" t="s">
        <v>276</v>
      </c>
      <c r="AI18" s="251" t="s">
        <v>897</v>
      </c>
    </row>
    <row r="19" spans="1:35" ht="13.8">
      <c r="A19" s="68">
        <f t="shared" si="2"/>
        <v>18</v>
      </c>
      <c r="B19" s="69" t="s">
        <v>277</v>
      </c>
      <c r="C19" s="69" t="s">
        <v>278</v>
      </c>
      <c r="D19" s="111" t="s">
        <v>141</v>
      </c>
      <c r="E19" s="111" t="s">
        <v>142</v>
      </c>
      <c r="F19" s="110" t="s">
        <v>143</v>
      </c>
      <c r="G19" s="70" t="s">
        <v>279</v>
      </c>
      <c r="H19" s="71" t="s">
        <v>119</v>
      </c>
      <c r="R19" s="68" t="s">
        <v>124</v>
      </c>
      <c r="S19" s="70" t="s">
        <v>125</v>
      </c>
      <c r="T19" s="70" t="s">
        <v>126</v>
      </c>
      <c r="U19" s="70" t="str">
        <f t="shared" si="3"/>
        <v>AD管理部</v>
      </c>
      <c r="V19" s="70" t="s">
        <v>276</v>
      </c>
      <c r="W19" s="70" t="s">
        <v>280</v>
      </c>
      <c r="X19" s="70" t="str">
        <f>V19</f>
        <v>退休金</v>
      </c>
      <c r="Y19" s="80">
        <v>-222168</v>
      </c>
      <c r="Z19" s="70" t="str">
        <f t="shared" si="6"/>
        <v>AD管理部退休金</v>
      </c>
      <c r="AA19" s="253" t="str">
        <f t="shared" si="4"/>
        <v>115ADSE18</v>
      </c>
      <c r="AC19" s="251" t="s">
        <v>267</v>
      </c>
      <c r="AD19" s="252" t="s">
        <v>268</v>
      </c>
      <c r="AE19" s="253" t="s">
        <v>269</v>
      </c>
      <c r="AG19" s="72" t="s">
        <v>283</v>
      </c>
      <c r="AI19" s="251" t="s">
        <v>905</v>
      </c>
    </row>
    <row r="20" spans="1:35" ht="13.8">
      <c r="A20" s="68">
        <f t="shared" si="2"/>
        <v>19</v>
      </c>
      <c r="B20" s="69" t="s">
        <v>284</v>
      </c>
      <c r="C20" s="69" t="s">
        <v>285</v>
      </c>
      <c r="D20" s="111" t="s">
        <v>179</v>
      </c>
      <c r="E20" s="111" t="s">
        <v>180</v>
      </c>
      <c r="F20" s="110" t="s">
        <v>143</v>
      </c>
      <c r="G20" s="70" t="s">
        <v>286</v>
      </c>
      <c r="H20" s="71" t="s">
        <v>119</v>
      </c>
      <c r="R20" s="68" t="s">
        <v>124</v>
      </c>
      <c r="S20" s="70" t="s">
        <v>125</v>
      </c>
      <c r="T20" s="70" t="s">
        <v>126</v>
      </c>
      <c r="U20" s="70" t="str">
        <f t="shared" si="3"/>
        <v>AD管理部</v>
      </c>
      <c r="V20" s="70" t="s">
        <v>283</v>
      </c>
      <c r="W20" s="70" t="s">
        <v>287</v>
      </c>
      <c r="X20" s="70" t="str">
        <f t="shared" ref="X20:X22" si="7">V20</f>
        <v>文具用品</v>
      </c>
      <c r="Y20" s="80">
        <v>-15000</v>
      </c>
      <c r="Z20" s="70" t="str">
        <f t="shared" si="6"/>
        <v>AD管理部文具用品</v>
      </c>
      <c r="AA20" s="253" t="str">
        <f t="shared" si="4"/>
        <v>115ADSE19</v>
      </c>
      <c r="AC20" s="251" t="s">
        <v>274</v>
      </c>
      <c r="AD20" s="252" t="s">
        <v>275</v>
      </c>
      <c r="AE20" s="253" t="s">
        <v>269</v>
      </c>
      <c r="AG20" s="72" t="s">
        <v>288</v>
      </c>
      <c r="AI20" s="112" t="str">
        <f>AC19</f>
        <v>T0.9內部自研案</v>
      </c>
    </row>
    <row r="21" spans="1:35" ht="13.8">
      <c r="A21" s="68">
        <f t="shared" si="2"/>
        <v>20</v>
      </c>
      <c r="B21" s="69" t="s">
        <v>289</v>
      </c>
      <c r="C21" s="69" t="s">
        <v>290</v>
      </c>
      <c r="D21" s="111" t="s">
        <v>141</v>
      </c>
      <c r="E21" s="111" t="s">
        <v>142</v>
      </c>
      <c r="F21" s="110" t="s">
        <v>143</v>
      </c>
      <c r="G21" s="70" t="s">
        <v>291</v>
      </c>
      <c r="H21" s="71" t="s">
        <v>119</v>
      </c>
      <c r="R21" s="68" t="s">
        <v>124</v>
      </c>
      <c r="S21" s="70" t="s">
        <v>125</v>
      </c>
      <c r="T21" s="70" t="s">
        <v>126</v>
      </c>
      <c r="U21" s="70" t="str">
        <f t="shared" si="3"/>
        <v>AD管理部</v>
      </c>
      <c r="V21" s="70" t="s">
        <v>288</v>
      </c>
      <c r="W21" s="70" t="s">
        <v>292</v>
      </c>
      <c r="X21" s="70" t="str">
        <f t="shared" si="7"/>
        <v>水電費</v>
      </c>
      <c r="Y21" s="80">
        <v>-250000</v>
      </c>
      <c r="Z21" s="70" t="str">
        <f t="shared" si="6"/>
        <v>AD管理部水電費</v>
      </c>
      <c r="AA21" s="253" t="str">
        <f t="shared" si="4"/>
        <v>115ADSE20</v>
      </c>
      <c r="AC21" s="251" t="s">
        <v>281</v>
      </c>
      <c r="AD21" s="252" t="s">
        <v>282</v>
      </c>
      <c r="AE21" s="253" t="s">
        <v>231</v>
      </c>
      <c r="AG21" s="72" t="s">
        <v>293</v>
      </c>
      <c r="AI21" s="112" t="str">
        <f>AC20</f>
        <v>Voyager T4產品開發案</v>
      </c>
    </row>
    <row r="22" spans="1:35" ht="13.8">
      <c r="A22" s="68">
        <f t="shared" si="2"/>
        <v>21</v>
      </c>
      <c r="B22" s="69" t="s">
        <v>294</v>
      </c>
      <c r="C22" s="69" t="s">
        <v>295</v>
      </c>
      <c r="D22" s="70" t="s">
        <v>153</v>
      </c>
      <c r="E22" s="70" t="s">
        <v>154</v>
      </c>
      <c r="F22" s="70" t="s">
        <v>115</v>
      </c>
      <c r="G22" s="70" t="s">
        <v>296</v>
      </c>
      <c r="H22" s="71" t="s">
        <v>119</v>
      </c>
      <c r="R22" s="68" t="s">
        <v>124</v>
      </c>
      <c r="S22" s="70" t="s">
        <v>125</v>
      </c>
      <c r="T22" s="70" t="s">
        <v>126</v>
      </c>
      <c r="U22" s="70" t="str">
        <f t="shared" si="3"/>
        <v>AD管理部</v>
      </c>
      <c r="V22" s="70" t="s">
        <v>293</v>
      </c>
      <c r="W22" s="70" t="s">
        <v>297</v>
      </c>
      <c r="X22" s="70" t="str">
        <f t="shared" si="7"/>
        <v>捐贈</v>
      </c>
      <c r="Y22" s="80">
        <v>0</v>
      </c>
      <c r="Z22" s="70" t="str">
        <f t="shared" si="6"/>
        <v>AD管理部捐贈</v>
      </c>
      <c r="AA22" s="253" t="str">
        <f t="shared" si="4"/>
        <v>無預算</v>
      </c>
      <c r="AG22" s="72" t="s">
        <v>298</v>
      </c>
      <c r="AI22" s="112" t="str">
        <f>AC21</f>
        <v>Voyager T14 產品開發案</v>
      </c>
    </row>
    <row r="23" spans="1:35" ht="13.8">
      <c r="A23" s="68">
        <f t="shared" si="2"/>
        <v>22</v>
      </c>
      <c r="B23" s="247" t="s">
        <v>299</v>
      </c>
      <c r="C23" s="69" t="s">
        <v>300</v>
      </c>
      <c r="D23" s="111" t="s">
        <v>141</v>
      </c>
      <c r="E23" s="111" t="s">
        <v>142</v>
      </c>
      <c r="F23" s="110" t="s">
        <v>143</v>
      </c>
      <c r="G23" s="70" t="s">
        <v>301</v>
      </c>
      <c r="H23" s="71" t="s">
        <v>119</v>
      </c>
      <c r="R23" s="68" t="s">
        <v>124</v>
      </c>
      <c r="S23" s="70" t="s">
        <v>125</v>
      </c>
      <c r="T23" s="70" t="s">
        <v>126</v>
      </c>
      <c r="U23" s="70" t="str">
        <f t="shared" si="3"/>
        <v>AD管理部</v>
      </c>
      <c r="V23" s="70" t="s">
        <v>298</v>
      </c>
      <c r="W23" s="70" t="s">
        <v>302</v>
      </c>
      <c r="X23" s="70" t="str">
        <f>V23</f>
        <v>銀行手續費</v>
      </c>
      <c r="Y23" s="80">
        <v>-26000</v>
      </c>
      <c r="Z23" s="70" t="str">
        <f t="shared" si="6"/>
        <v>AD管理部銀行手續費</v>
      </c>
      <c r="AA23" s="253" t="str">
        <f t="shared" si="4"/>
        <v>115ADSE22</v>
      </c>
      <c r="AG23" s="72" t="s">
        <v>303</v>
      </c>
    </row>
    <row r="24" spans="1:35" ht="13.8">
      <c r="A24" s="68">
        <f t="shared" si="2"/>
        <v>23</v>
      </c>
      <c r="B24" s="69" t="s">
        <v>304</v>
      </c>
      <c r="C24" s="69" t="s">
        <v>305</v>
      </c>
      <c r="D24" s="70" t="s">
        <v>124</v>
      </c>
      <c r="E24" s="70" t="s">
        <v>125</v>
      </c>
      <c r="F24" s="69" t="s">
        <v>130</v>
      </c>
      <c r="G24" s="70" t="s">
        <v>306</v>
      </c>
      <c r="H24" s="71" t="s">
        <v>119</v>
      </c>
      <c r="R24" s="68" t="s">
        <v>124</v>
      </c>
      <c r="S24" s="70" t="s">
        <v>125</v>
      </c>
      <c r="T24" s="70" t="s">
        <v>126</v>
      </c>
      <c r="U24" s="70" t="str">
        <f t="shared" si="3"/>
        <v>AD管理部</v>
      </c>
      <c r="V24" s="70" t="s">
        <v>303</v>
      </c>
      <c r="W24" s="70" t="s">
        <v>307</v>
      </c>
      <c r="X24" s="70" t="str">
        <f>V24</f>
        <v>其他費用</v>
      </c>
      <c r="Y24" s="80">
        <v>-1160440</v>
      </c>
      <c r="Z24" s="70" t="str">
        <f t="shared" si="6"/>
        <v>AD管理部其他費用</v>
      </c>
      <c r="AA24" s="253" t="str">
        <f t="shared" si="4"/>
        <v>115ADSE99</v>
      </c>
      <c r="AG24" s="72" t="s">
        <v>308</v>
      </c>
    </row>
    <row r="25" spans="1:35" ht="13.8">
      <c r="A25" s="68">
        <f t="shared" si="2"/>
        <v>24</v>
      </c>
      <c r="B25" s="69" t="s">
        <v>309</v>
      </c>
      <c r="C25" s="69" t="s">
        <v>310</v>
      </c>
      <c r="D25" s="70" t="s">
        <v>124</v>
      </c>
      <c r="E25" s="70" t="s">
        <v>125</v>
      </c>
      <c r="F25" s="69" t="s">
        <v>130</v>
      </c>
      <c r="G25" s="70" t="s">
        <v>311</v>
      </c>
      <c r="H25" s="71" t="s">
        <v>119</v>
      </c>
      <c r="R25" s="68" t="s">
        <v>124</v>
      </c>
      <c r="S25" s="70" t="s">
        <v>125</v>
      </c>
      <c r="T25" s="70" t="s">
        <v>126</v>
      </c>
      <c r="U25" s="70" t="str">
        <f t="shared" si="3"/>
        <v>AD管理部</v>
      </c>
      <c r="V25" s="70" t="s">
        <v>308</v>
      </c>
      <c r="W25" s="70" t="s">
        <v>312</v>
      </c>
      <c r="X25" s="70" t="str">
        <f>V25</f>
        <v>非費用類項目</v>
      </c>
      <c r="Y25" s="80">
        <v>-12627719</v>
      </c>
      <c r="Z25" s="70" t="str">
        <f t="shared" si="6"/>
        <v>AD管理部非費用類項目</v>
      </c>
      <c r="AA25" s="253" t="str">
        <f t="shared" si="4"/>
        <v>115ADOTH</v>
      </c>
      <c r="AG25" s="76" t="s">
        <v>313</v>
      </c>
    </row>
    <row r="26" spans="1:35" ht="13.8">
      <c r="A26" s="68">
        <f t="shared" si="2"/>
        <v>25</v>
      </c>
      <c r="B26" s="69" t="s">
        <v>314</v>
      </c>
      <c r="C26" s="69" t="s">
        <v>315</v>
      </c>
      <c r="D26" s="70" t="s">
        <v>124</v>
      </c>
      <c r="E26" s="70" t="s">
        <v>125</v>
      </c>
      <c r="F26" s="69" t="s">
        <v>130</v>
      </c>
      <c r="G26" s="70" t="s">
        <v>316</v>
      </c>
      <c r="H26" s="71" t="s">
        <v>119</v>
      </c>
      <c r="R26" s="68" t="s">
        <v>141</v>
      </c>
      <c r="S26" s="70" t="s">
        <v>142</v>
      </c>
      <c r="T26" s="70" t="s">
        <v>126</v>
      </c>
      <c r="U26" s="70" t="str">
        <f t="shared" si="3"/>
        <v>ADS自動駕駛系統部</v>
      </c>
      <c r="V26" s="70" t="s">
        <v>127</v>
      </c>
      <c r="W26" s="70" t="s">
        <v>317</v>
      </c>
      <c r="X26" s="70" t="s">
        <v>129</v>
      </c>
      <c r="Y26" s="80">
        <v>-20842383</v>
      </c>
      <c r="Z26" s="70" t="str">
        <f t="shared" si="6"/>
        <v>ADS自動駕駛系統部人事費</v>
      </c>
      <c r="AA26" s="253" t="str">
        <f t="shared" si="4"/>
        <v>115ADSSE01</v>
      </c>
      <c r="AG26" s="113" t="s">
        <v>318</v>
      </c>
    </row>
    <row r="27" spans="1:35" ht="13.8">
      <c r="A27" s="68">
        <f t="shared" si="2"/>
        <v>26</v>
      </c>
      <c r="B27" s="69" t="s">
        <v>319</v>
      </c>
      <c r="C27" s="69" t="s">
        <v>320</v>
      </c>
      <c r="D27" s="111" t="s">
        <v>141</v>
      </c>
      <c r="E27" s="111" t="s">
        <v>142</v>
      </c>
      <c r="F27" s="110" t="s">
        <v>143</v>
      </c>
      <c r="G27" s="70" t="s">
        <v>321</v>
      </c>
      <c r="H27" s="71" t="s">
        <v>119</v>
      </c>
      <c r="R27" s="68" t="s">
        <v>141</v>
      </c>
      <c r="S27" s="70" t="s">
        <v>142</v>
      </c>
      <c r="T27" s="70" t="s">
        <v>126</v>
      </c>
      <c r="U27" s="70" t="str">
        <f t="shared" si="3"/>
        <v>ADS自動駕駛系統部</v>
      </c>
      <c r="V27" s="70" t="s">
        <v>50</v>
      </c>
      <c r="W27" s="70" t="s">
        <v>322</v>
      </c>
      <c r="X27" s="70" t="s">
        <v>50</v>
      </c>
      <c r="Y27" s="80">
        <v>-559600</v>
      </c>
      <c r="Z27" s="70" t="str">
        <f t="shared" si="6"/>
        <v>ADS自動駕駛系統部租金支出</v>
      </c>
      <c r="AA27" s="253" t="str">
        <f t="shared" si="4"/>
        <v>115ADSSE02</v>
      </c>
      <c r="AG27" s="113" t="s">
        <v>323</v>
      </c>
    </row>
    <row r="28" spans="1:35" ht="13.8">
      <c r="A28" s="68">
        <f t="shared" si="2"/>
        <v>27</v>
      </c>
      <c r="B28" s="69" t="s">
        <v>324</v>
      </c>
      <c r="C28" s="69" t="s">
        <v>325</v>
      </c>
      <c r="D28" s="111" t="s">
        <v>141</v>
      </c>
      <c r="E28" s="111" t="s">
        <v>142</v>
      </c>
      <c r="F28" s="110" t="s">
        <v>143</v>
      </c>
      <c r="G28" s="70" t="s">
        <v>326</v>
      </c>
      <c r="H28" s="71" t="s">
        <v>119</v>
      </c>
      <c r="R28" s="68" t="s">
        <v>141</v>
      </c>
      <c r="S28" s="70" t="s">
        <v>142</v>
      </c>
      <c r="T28" s="70" t="s">
        <v>126</v>
      </c>
      <c r="U28" s="70" t="str">
        <f t="shared" si="3"/>
        <v>ADS自動駕駛系統部</v>
      </c>
      <c r="V28" s="70" t="s">
        <v>151</v>
      </c>
      <c r="W28" s="70" t="s">
        <v>327</v>
      </c>
      <c r="X28" s="70" t="s">
        <v>151</v>
      </c>
      <c r="Y28" s="80">
        <v>-300000</v>
      </c>
      <c r="Z28" s="70" t="str">
        <f t="shared" si="6"/>
        <v>ADS自動駕駛系統部旅費</v>
      </c>
      <c r="AA28" s="253" t="str">
        <f t="shared" si="4"/>
        <v>無預算</v>
      </c>
      <c r="AG28" s="113" t="s">
        <v>328</v>
      </c>
    </row>
    <row r="29" spans="1:35" ht="13.8">
      <c r="A29" s="68">
        <f t="shared" si="2"/>
        <v>28</v>
      </c>
      <c r="B29" s="69" t="s">
        <v>329</v>
      </c>
      <c r="C29" s="69" t="s">
        <v>330</v>
      </c>
      <c r="D29" s="111" t="s">
        <v>141</v>
      </c>
      <c r="E29" s="111" t="s">
        <v>142</v>
      </c>
      <c r="F29" s="110" t="s">
        <v>143</v>
      </c>
      <c r="G29" s="70" t="s">
        <v>331</v>
      </c>
      <c r="H29" s="71" t="s">
        <v>119</v>
      </c>
      <c r="R29" s="68" t="s">
        <v>141</v>
      </c>
      <c r="S29" s="70" t="s">
        <v>142</v>
      </c>
      <c r="T29" s="70" t="s">
        <v>126</v>
      </c>
      <c r="U29" s="70" t="str">
        <f t="shared" si="3"/>
        <v>ADS自動駕駛系統部</v>
      </c>
      <c r="V29" s="70" t="s">
        <v>70</v>
      </c>
      <c r="W29" s="70" t="s">
        <v>332</v>
      </c>
      <c r="X29" s="70" t="s">
        <v>70</v>
      </c>
      <c r="Y29" s="80">
        <v>0</v>
      </c>
      <c r="Z29" s="70" t="str">
        <f t="shared" si="6"/>
        <v>ADS自動駕駛系統部運費</v>
      </c>
      <c r="AA29" s="253" t="str">
        <f t="shared" si="4"/>
        <v>無預算</v>
      </c>
      <c r="AG29" s="113" t="s">
        <v>333</v>
      </c>
    </row>
    <row r="30" spans="1:35" ht="13.8">
      <c r="A30" s="68">
        <f t="shared" si="2"/>
        <v>29</v>
      </c>
      <c r="B30" s="69" t="s">
        <v>334</v>
      </c>
      <c r="C30" s="69" t="s">
        <v>335</v>
      </c>
      <c r="D30" s="111" t="s">
        <v>141</v>
      </c>
      <c r="E30" s="111" t="s">
        <v>142</v>
      </c>
      <c r="F30" s="110" t="s">
        <v>143</v>
      </c>
      <c r="G30" s="70" t="s">
        <v>336</v>
      </c>
      <c r="H30" s="71" t="s">
        <v>119</v>
      </c>
      <c r="R30" s="68" t="s">
        <v>141</v>
      </c>
      <c r="S30" s="70" t="s">
        <v>142</v>
      </c>
      <c r="T30" s="70" t="s">
        <v>126</v>
      </c>
      <c r="U30" s="70" t="str">
        <f t="shared" si="3"/>
        <v>ADS自動駕駛系統部</v>
      </c>
      <c r="V30" s="70" t="s">
        <v>62</v>
      </c>
      <c r="W30" s="70" t="s">
        <v>337</v>
      </c>
      <c r="X30" s="70" t="s">
        <v>62</v>
      </c>
      <c r="Y30" s="80">
        <v>-36000</v>
      </c>
      <c r="Z30" s="70" t="str">
        <f t="shared" si="6"/>
        <v>ADS自動駕駛系統部郵電費</v>
      </c>
      <c r="AA30" s="253" t="str">
        <f t="shared" si="4"/>
        <v>115ADSSE05</v>
      </c>
      <c r="AG30" s="113" t="s">
        <v>338</v>
      </c>
    </row>
    <row r="31" spans="1:35" ht="13.8">
      <c r="A31" s="68">
        <f t="shared" si="2"/>
        <v>30</v>
      </c>
      <c r="B31" s="69" t="s">
        <v>339</v>
      </c>
      <c r="C31" s="69" t="s">
        <v>340</v>
      </c>
      <c r="D31" s="111" t="s">
        <v>341</v>
      </c>
      <c r="E31" s="111" t="s">
        <v>241</v>
      </c>
      <c r="F31" s="110" t="s">
        <v>190</v>
      </c>
      <c r="G31" s="70" t="s">
        <v>342</v>
      </c>
      <c r="H31" s="71" t="s">
        <v>119</v>
      </c>
      <c r="R31" s="68" t="s">
        <v>141</v>
      </c>
      <c r="S31" s="70" t="s">
        <v>142</v>
      </c>
      <c r="T31" s="70" t="s">
        <v>126</v>
      </c>
      <c r="U31" s="70" t="str">
        <f t="shared" si="3"/>
        <v>ADS自動駕駛系統部</v>
      </c>
      <c r="V31" s="70" t="s">
        <v>177</v>
      </c>
      <c r="W31" s="70" t="s">
        <v>343</v>
      </c>
      <c r="X31" s="70" t="s">
        <v>177</v>
      </c>
      <c r="Y31" s="80">
        <v>-20000</v>
      </c>
      <c r="Z31" s="70" t="str">
        <f t="shared" si="6"/>
        <v>ADS自動駕駛系統部修繕費</v>
      </c>
      <c r="AA31" s="253" t="str">
        <f t="shared" si="4"/>
        <v>115ADSSE06</v>
      </c>
      <c r="AG31" s="113" t="s">
        <v>344</v>
      </c>
    </row>
    <row r="32" spans="1:35" ht="13.8">
      <c r="A32" s="68">
        <f>ROW()-1</f>
        <v>31</v>
      </c>
      <c r="B32" s="69" t="s">
        <v>345</v>
      </c>
      <c r="C32" s="69" t="s">
        <v>269</v>
      </c>
      <c r="D32" s="70" t="s">
        <v>188</v>
      </c>
      <c r="E32" s="70" t="s">
        <v>189</v>
      </c>
      <c r="F32" s="70" t="s">
        <v>119</v>
      </c>
      <c r="G32" s="70" t="s">
        <v>258</v>
      </c>
      <c r="H32" s="71" t="s">
        <v>119</v>
      </c>
      <c r="R32" s="68" t="s">
        <v>141</v>
      </c>
      <c r="S32" s="70" t="s">
        <v>142</v>
      </c>
      <c r="T32" s="70" t="s">
        <v>126</v>
      </c>
      <c r="U32" s="70" t="str">
        <f t="shared" si="3"/>
        <v>ADS自動駕駛系統部</v>
      </c>
      <c r="V32" s="70" t="s">
        <v>54</v>
      </c>
      <c r="W32" s="70" t="s">
        <v>346</v>
      </c>
      <c r="X32" s="70" t="s">
        <v>54</v>
      </c>
      <c r="Y32" s="80">
        <v>0</v>
      </c>
      <c r="Z32" s="70" t="str">
        <f t="shared" si="6"/>
        <v>ADS自動駕駛系統部廣告費</v>
      </c>
      <c r="AA32" s="253" t="str">
        <f t="shared" si="4"/>
        <v>無預算</v>
      </c>
      <c r="AG32" s="113" t="s">
        <v>347</v>
      </c>
    </row>
    <row r="33" spans="1:33" ht="14.4" thickBot="1">
      <c r="A33" s="68">
        <f t="shared" si="2"/>
        <v>32</v>
      </c>
      <c r="B33" s="69" t="s">
        <v>348</v>
      </c>
      <c r="C33" s="69" t="s">
        <v>349</v>
      </c>
      <c r="D33" s="111" t="s">
        <v>179</v>
      </c>
      <c r="E33" s="111" t="s">
        <v>180</v>
      </c>
      <c r="F33" s="110" t="s">
        <v>143</v>
      </c>
      <c r="G33" s="70" t="s">
        <v>350</v>
      </c>
      <c r="H33" s="71" t="s">
        <v>119</v>
      </c>
      <c r="R33" s="68" t="s">
        <v>141</v>
      </c>
      <c r="S33" s="70" t="s">
        <v>142</v>
      </c>
      <c r="T33" s="70" t="s">
        <v>126</v>
      </c>
      <c r="U33" s="70" t="str">
        <f t="shared" si="3"/>
        <v>ADS自動駕駛系統部</v>
      </c>
      <c r="V33" s="70" t="s">
        <v>195</v>
      </c>
      <c r="W33" s="70" t="s">
        <v>351</v>
      </c>
      <c r="X33" s="70" t="s">
        <v>195</v>
      </c>
      <c r="Y33" s="80">
        <v>-1675862</v>
      </c>
      <c r="Z33" s="70" t="str">
        <f t="shared" si="6"/>
        <v>ADS自動駕駛系統部保險費</v>
      </c>
      <c r="AA33" s="253" t="str">
        <f t="shared" si="4"/>
        <v>115ADSSE08</v>
      </c>
      <c r="AG33" s="114" t="s">
        <v>352</v>
      </c>
    </row>
    <row r="34" spans="1:33" ht="13.8">
      <c r="A34" s="68">
        <f t="shared" si="2"/>
        <v>33</v>
      </c>
      <c r="B34" s="69" t="s">
        <v>353</v>
      </c>
      <c r="C34" s="69" t="s">
        <v>354</v>
      </c>
      <c r="D34" s="111" t="s">
        <v>201</v>
      </c>
      <c r="E34" s="111" t="s">
        <v>202</v>
      </c>
      <c r="F34" s="110" t="s">
        <v>203</v>
      </c>
      <c r="G34" s="70" t="s">
        <v>355</v>
      </c>
      <c r="H34" s="71" t="s">
        <v>119</v>
      </c>
      <c r="R34" s="68" t="s">
        <v>141</v>
      </c>
      <c r="S34" s="70" t="s">
        <v>142</v>
      </c>
      <c r="T34" s="70" t="s">
        <v>126</v>
      </c>
      <c r="U34" s="70" t="str">
        <f t="shared" si="3"/>
        <v>ADS自動駕駛系統部</v>
      </c>
      <c r="V34" s="70" t="s">
        <v>74</v>
      </c>
      <c r="W34" s="70" t="s">
        <v>356</v>
      </c>
      <c r="X34" s="70" t="s">
        <v>74</v>
      </c>
      <c r="Y34" s="80">
        <v>-12000</v>
      </c>
      <c r="Z34" s="70" t="str">
        <f t="shared" si="6"/>
        <v>ADS自動駕駛系統部交際費</v>
      </c>
      <c r="AA34" s="253" t="str">
        <f t="shared" si="4"/>
        <v>115ADSSE09</v>
      </c>
    </row>
    <row r="35" spans="1:33" ht="13.8">
      <c r="A35" s="68">
        <f t="shared" si="2"/>
        <v>34</v>
      </c>
      <c r="B35" s="69" t="s">
        <v>357</v>
      </c>
      <c r="C35" s="69" t="s">
        <v>358</v>
      </c>
      <c r="D35" s="69" t="s">
        <v>116</v>
      </c>
      <c r="E35" s="69" t="s">
        <v>117</v>
      </c>
      <c r="F35" s="69" t="s">
        <v>115</v>
      </c>
      <c r="G35" s="70" t="s">
        <v>359</v>
      </c>
      <c r="H35" s="71" t="s">
        <v>119</v>
      </c>
      <c r="R35" s="68" t="s">
        <v>141</v>
      </c>
      <c r="S35" s="70" t="s">
        <v>142</v>
      </c>
      <c r="T35" s="70" t="s">
        <v>126</v>
      </c>
      <c r="U35" s="70" t="str">
        <f t="shared" si="3"/>
        <v>ADS自動駕駛系統部</v>
      </c>
      <c r="V35" s="70" t="s">
        <v>217</v>
      </c>
      <c r="W35" s="70" t="s">
        <v>360</v>
      </c>
      <c r="X35" s="70" t="s">
        <v>217</v>
      </c>
      <c r="Y35" s="80">
        <v>-608784</v>
      </c>
      <c r="Z35" s="70" t="str">
        <f t="shared" si="6"/>
        <v>ADS自動駕駛系統部折舊及攤銷</v>
      </c>
      <c r="AA35" s="253" t="str">
        <f t="shared" si="4"/>
        <v>無預算</v>
      </c>
    </row>
    <row r="36" spans="1:33" ht="13.8">
      <c r="A36" s="68">
        <f t="shared" si="2"/>
        <v>35</v>
      </c>
      <c r="B36" s="69" t="s">
        <v>361</v>
      </c>
      <c r="C36" s="69" t="s">
        <v>362</v>
      </c>
      <c r="D36" s="70" t="s">
        <v>153</v>
      </c>
      <c r="E36" s="70" t="s">
        <v>154</v>
      </c>
      <c r="F36" s="70" t="s">
        <v>115</v>
      </c>
      <c r="G36" s="70" t="s">
        <v>363</v>
      </c>
      <c r="H36" s="71" t="s">
        <v>119</v>
      </c>
      <c r="R36" s="68" t="s">
        <v>141</v>
      </c>
      <c r="S36" s="70" t="s">
        <v>142</v>
      </c>
      <c r="T36" s="70" t="s">
        <v>126</v>
      </c>
      <c r="U36" s="70" t="str">
        <f t="shared" si="3"/>
        <v>ADS自動駕駛系統部</v>
      </c>
      <c r="V36" s="70" t="s">
        <v>78</v>
      </c>
      <c r="W36" s="70" t="s">
        <v>364</v>
      </c>
      <c r="X36" s="70" t="s">
        <v>78</v>
      </c>
      <c r="Y36" s="80">
        <v>-30000</v>
      </c>
      <c r="Z36" s="70" t="str">
        <f t="shared" si="6"/>
        <v>ADS自動駕駛系統部職工福利</v>
      </c>
      <c r="AA36" s="253" t="str">
        <f t="shared" si="4"/>
        <v>115ADSSE11</v>
      </c>
    </row>
    <row r="37" spans="1:33" ht="13.8">
      <c r="A37" s="68">
        <f t="shared" si="2"/>
        <v>36</v>
      </c>
      <c r="B37" s="69" t="s">
        <v>365</v>
      </c>
      <c r="C37" s="69" t="s">
        <v>366</v>
      </c>
      <c r="D37" s="111" t="s">
        <v>141</v>
      </c>
      <c r="E37" s="111" t="s">
        <v>142</v>
      </c>
      <c r="F37" s="110" t="s">
        <v>143</v>
      </c>
      <c r="G37" s="70" t="s">
        <v>336</v>
      </c>
      <c r="H37" s="71" t="s">
        <v>119</v>
      </c>
      <c r="J37" s="74"/>
      <c r="L37" s="74"/>
      <c r="R37" s="68" t="s">
        <v>141</v>
      </c>
      <c r="S37" s="70" t="s">
        <v>142</v>
      </c>
      <c r="T37" s="70" t="s">
        <v>126</v>
      </c>
      <c r="U37" s="70" t="str">
        <f t="shared" si="3"/>
        <v>ADS自動駕駛系統部</v>
      </c>
      <c r="V37" s="70" t="s">
        <v>47</v>
      </c>
      <c r="W37" s="70" t="s">
        <v>367</v>
      </c>
      <c r="X37" s="70" t="s">
        <v>47</v>
      </c>
      <c r="Y37" s="80">
        <v>0</v>
      </c>
      <c r="Z37" s="70" t="str">
        <f t="shared" si="6"/>
        <v>ADS自動駕駛系統部訓練費</v>
      </c>
      <c r="AA37" s="253" t="str">
        <f t="shared" si="4"/>
        <v>無預算</v>
      </c>
    </row>
    <row r="38" spans="1:33" ht="13.8">
      <c r="A38" s="68">
        <f t="shared" si="2"/>
        <v>37</v>
      </c>
      <c r="B38" s="69" t="s">
        <v>368</v>
      </c>
      <c r="C38" s="69" t="s">
        <v>369</v>
      </c>
      <c r="D38" s="70" t="s">
        <v>153</v>
      </c>
      <c r="E38" s="70" t="s">
        <v>154</v>
      </c>
      <c r="F38" s="70" t="s">
        <v>115</v>
      </c>
      <c r="G38" s="70" t="s">
        <v>370</v>
      </c>
      <c r="H38" s="71" t="s">
        <v>119</v>
      </c>
      <c r="J38" s="74"/>
      <c r="K38" s="74"/>
      <c r="L38" s="74"/>
      <c r="M38" s="74"/>
      <c r="N38" s="74"/>
      <c r="O38" s="74"/>
      <c r="P38" s="74"/>
      <c r="Q38" s="74"/>
      <c r="R38" s="68" t="s">
        <v>141</v>
      </c>
      <c r="S38" s="70" t="s">
        <v>142</v>
      </c>
      <c r="T38" s="70" t="s">
        <v>126</v>
      </c>
      <c r="U38" s="70" t="str">
        <f t="shared" si="3"/>
        <v>ADS自動駕駛系統部</v>
      </c>
      <c r="V38" s="70" t="s">
        <v>238</v>
      </c>
      <c r="W38" s="70" t="s">
        <v>371</v>
      </c>
      <c r="X38" s="70" t="str">
        <f>V38</f>
        <v>開發費</v>
      </c>
      <c r="Y38" s="80">
        <v>0</v>
      </c>
      <c r="Z38" s="70" t="str">
        <f t="shared" si="6"/>
        <v>ADS自動駕駛系統部開發費</v>
      </c>
      <c r="AA38" s="253" t="str">
        <f t="shared" si="4"/>
        <v>無預算</v>
      </c>
    </row>
    <row r="39" spans="1:33" ht="13.8">
      <c r="A39" s="68">
        <f t="shared" si="2"/>
        <v>38</v>
      </c>
      <c r="B39" s="69" t="s">
        <v>372</v>
      </c>
      <c r="C39" s="69" t="s">
        <v>373</v>
      </c>
      <c r="D39" s="70" t="s">
        <v>153</v>
      </c>
      <c r="E39" s="70" t="s">
        <v>154</v>
      </c>
      <c r="F39" s="70" t="s">
        <v>115</v>
      </c>
      <c r="G39" s="70" t="s">
        <v>374</v>
      </c>
      <c r="H39" s="71" t="s">
        <v>119</v>
      </c>
      <c r="K39" s="74"/>
      <c r="M39" s="74"/>
      <c r="N39" s="74"/>
      <c r="O39" s="74"/>
      <c r="P39" s="74"/>
      <c r="Q39" s="74"/>
      <c r="R39" s="68" t="s">
        <v>141</v>
      </c>
      <c r="S39" s="70" t="s">
        <v>142</v>
      </c>
      <c r="T39" s="70" t="s">
        <v>126</v>
      </c>
      <c r="U39" s="70" t="str">
        <f t="shared" si="3"/>
        <v>ADS自動駕駛系統部</v>
      </c>
      <c r="V39" s="70" t="s">
        <v>56</v>
      </c>
      <c r="W39" s="70" t="s">
        <v>375</v>
      </c>
      <c r="X39" s="70" t="s">
        <v>56</v>
      </c>
      <c r="Y39" s="80">
        <v>0</v>
      </c>
      <c r="Z39" s="70" t="str">
        <f t="shared" si="6"/>
        <v>ADS自動駕駛系統部勞務費</v>
      </c>
      <c r="AA39" s="253" t="str">
        <f t="shared" si="4"/>
        <v>無預算</v>
      </c>
    </row>
    <row r="40" spans="1:33" ht="13.8">
      <c r="A40" s="68">
        <f t="shared" si="2"/>
        <v>39</v>
      </c>
      <c r="B40" s="69" t="s">
        <v>902</v>
      </c>
      <c r="C40" s="70" t="s">
        <v>903</v>
      </c>
      <c r="D40" s="70" t="s">
        <v>124</v>
      </c>
      <c r="E40" s="70" t="s">
        <v>125</v>
      </c>
      <c r="F40" s="69" t="s">
        <v>130</v>
      </c>
      <c r="G40" s="69" t="s">
        <v>904</v>
      </c>
      <c r="H40" s="71" t="s">
        <v>119</v>
      </c>
      <c r="R40" s="68" t="s">
        <v>141</v>
      </c>
      <c r="S40" s="70" t="s">
        <v>142</v>
      </c>
      <c r="T40" s="70" t="s">
        <v>126</v>
      </c>
      <c r="U40" s="70" t="str">
        <f t="shared" si="3"/>
        <v>ADS自動駕駛系統部</v>
      </c>
      <c r="V40" s="70" t="s">
        <v>255</v>
      </c>
      <c r="W40" s="70" t="s">
        <v>376</v>
      </c>
      <c r="X40" s="70" t="s">
        <v>255</v>
      </c>
      <c r="Y40" s="80">
        <v>-24000</v>
      </c>
      <c r="Z40" s="70" t="str">
        <f t="shared" si="6"/>
        <v>ADS自動駕駛系統部交通費</v>
      </c>
      <c r="AA40" s="253" t="str">
        <f t="shared" si="4"/>
        <v>115ADSSE15</v>
      </c>
    </row>
    <row r="41" spans="1:33" ht="13.8">
      <c r="A41" s="68"/>
      <c r="B41" s="69"/>
      <c r="C41" s="70"/>
      <c r="D41" s="70"/>
      <c r="E41" s="70"/>
      <c r="F41" s="69"/>
      <c r="G41" s="69"/>
      <c r="H41" s="71"/>
      <c r="R41" s="68" t="s">
        <v>141</v>
      </c>
      <c r="S41" s="70" t="s">
        <v>142</v>
      </c>
      <c r="T41" s="70" t="s">
        <v>126</v>
      </c>
      <c r="U41" s="70" t="str">
        <f t="shared" si="3"/>
        <v>ADS自動駕駛系統部</v>
      </c>
      <c r="V41" s="70" t="s">
        <v>262</v>
      </c>
      <c r="W41" s="70" t="s">
        <v>377</v>
      </c>
      <c r="X41" s="70" t="s">
        <v>262</v>
      </c>
      <c r="Y41" s="80">
        <v>-1190000</v>
      </c>
      <c r="Z41" s="70" t="str">
        <f t="shared" si="6"/>
        <v>ADS自動駕駛系統部設備</v>
      </c>
      <c r="AA41" s="253" t="str">
        <f t="shared" si="4"/>
        <v>115ADSSE16</v>
      </c>
    </row>
    <row r="42" spans="1:33" ht="13.8">
      <c r="A42" s="68"/>
      <c r="B42" s="69"/>
      <c r="C42" s="70"/>
      <c r="D42" s="70"/>
      <c r="E42" s="70"/>
      <c r="F42" s="69"/>
      <c r="G42" s="69"/>
      <c r="H42" s="71"/>
      <c r="R42" s="68" t="s">
        <v>141</v>
      </c>
      <c r="S42" s="70" t="s">
        <v>142</v>
      </c>
      <c r="T42" s="70" t="s">
        <v>126</v>
      </c>
      <c r="U42" s="70" t="str">
        <f t="shared" si="3"/>
        <v>ADS自動駕駛系統部</v>
      </c>
      <c r="V42" s="70" t="s">
        <v>270</v>
      </c>
      <c r="W42" s="70" t="s">
        <v>378</v>
      </c>
      <c r="X42" s="70" t="str">
        <f>V42</f>
        <v>雜項購置</v>
      </c>
      <c r="Y42" s="80">
        <v>-40000</v>
      </c>
      <c r="Z42" s="70" t="str">
        <f t="shared" si="6"/>
        <v>ADS自動駕駛系統部雜項購置</v>
      </c>
      <c r="AA42" s="253" t="str">
        <f t="shared" si="4"/>
        <v>115ADSSE17</v>
      </c>
    </row>
    <row r="43" spans="1:33" ht="13.8">
      <c r="A43" s="68"/>
      <c r="B43" s="69"/>
      <c r="C43" s="70"/>
      <c r="D43" s="70"/>
      <c r="E43" s="70"/>
      <c r="F43" s="69"/>
      <c r="G43" s="69"/>
      <c r="H43" s="71"/>
      <c r="R43" s="68" t="s">
        <v>141</v>
      </c>
      <c r="S43" s="70" t="s">
        <v>142</v>
      </c>
      <c r="T43" s="70" t="s">
        <v>126</v>
      </c>
      <c r="U43" s="70" t="str">
        <f t="shared" si="3"/>
        <v>ADS自動駕駛系統部</v>
      </c>
      <c r="V43" s="70" t="s">
        <v>276</v>
      </c>
      <c r="W43" s="70" t="s">
        <v>379</v>
      </c>
      <c r="X43" s="70" t="str">
        <f>V43</f>
        <v>退休金</v>
      </c>
      <c r="Y43" s="80">
        <v>-1039276</v>
      </c>
      <c r="Z43" s="70" t="str">
        <f t="shared" si="6"/>
        <v>ADS自動駕駛系統部退休金</v>
      </c>
      <c r="AA43" s="253" t="str">
        <f t="shared" si="4"/>
        <v>115ADSSE18</v>
      </c>
    </row>
    <row r="44" spans="1:33" ht="13.8">
      <c r="A44" s="68"/>
      <c r="B44" s="69"/>
      <c r="C44" s="70"/>
      <c r="D44" s="70"/>
      <c r="E44" s="70"/>
      <c r="F44" s="69"/>
      <c r="G44" s="69"/>
      <c r="H44" s="71"/>
      <c r="R44" s="68" t="s">
        <v>141</v>
      </c>
      <c r="S44" s="70" t="s">
        <v>142</v>
      </c>
      <c r="T44" s="70" t="s">
        <v>126</v>
      </c>
      <c r="U44" s="70" t="str">
        <f t="shared" si="3"/>
        <v>ADS自動駕駛系統部</v>
      </c>
      <c r="V44" s="70" t="s">
        <v>283</v>
      </c>
      <c r="W44" s="70" t="s">
        <v>380</v>
      </c>
      <c r="X44" s="70" t="str">
        <f t="shared" ref="X44:X46" si="8">V44</f>
        <v>文具用品</v>
      </c>
      <c r="Y44" s="80">
        <v>0</v>
      </c>
      <c r="Z44" s="70" t="str">
        <f t="shared" si="6"/>
        <v>ADS自動駕駛系統部文具用品</v>
      </c>
      <c r="AA44" s="253" t="str">
        <f t="shared" si="4"/>
        <v>無預算</v>
      </c>
    </row>
    <row r="45" spans="1:33" ht="13.8">
      <c r="A45" s="68"/>
      <c r="B45" s="69"/>
      <c r="C45" s="69"/>
      <c r="D45" s="111"/>
      <c r="E45" s="111"/>
      <c r="F45" s="110"/>
      <c r="G45" s="70"/>
      <c r="H45" s="71"/>
      <c r="R45" s="68" t="s">
        <v>141</v>
      </c>
      <c r="S45" s="70" t="s">
        <v>142</v>
      </c>
      <c r="T45" s="70" t="s">
        <v>126</v>
      </c>
      <c r="U45" s="70" t="str">
        <f t="shared" si="3"/>
        <v>ADS自動駕駛系統部</v>
      </c>
      <c r="V45" s="70" t="s">
        <v>288</v>
      </c>
      <c r="W45" s="70" t="s">
        <v>381</v>
      </c>
      <c r="X45" s="70" t="str">
        <f t="shared" si="8"/>
        <v>水電費</v>
      </c>
      <c r="Y45" s="80">
        <v>0</v>
      </c>
      <c r="Z45" s="70" t="str">
        <f t="shared" si="6"/>
        <v>ADS自動駕駛系統部水電費</v>
      </c>
      <c r="AA45" s="253" t="str">
        <f t="shared" si="4"/>
        <v>無預算</v>
      </c>
    </row>
    <row r="46" spans="1:33" ht="13.8">
      <c r="A46" s="68"/>
      <c r="B46" s="69"/>
      <c r="C46" s="69"/>
      <c r="D46" s="70"/>
      <c r="E46" s="70"/>
      <c r="F46" s="69"/>
      <c r="G46" s="70"/>
      <c r="H46" s="71"/>
      <c r="R46" s="68" t="s">
        <v>141</v>
      </c>
      <c r="S46" s="70" t="s">
        <v>142</v>
      </c>
      <c r="T46" s="70" t="s">
        <v>126</v>
      </c>
      <c r="U46" s="70" t="str">
        <f t="shared" si="3"/>
        <v>ADS自動駕駛系統部</v>
      </c>
      <c r="V46" s="70" t="s">
        <v>293</v>
      </c>
      <c r="W46" s="70" t="s">
        <v>382</v>
      </c>
      <c r="X46" s="70" t="str">
        <f t="shared" si="8"/>
        <v>捐贈</v>
      </c>
      <c r="Y46" s="80">
        <v>0</v>
      </c>
      <c r="Z46" s="70" t="str">
        <f t="shared" si="6"/>
        <v>ADS自動駕駛系統部捐贈</v>
      </c>
      <c r="AA46" s="253" t="str">
        <f t="shared" si="4"/>
        <v>無預算</v>
      </c>
    </row>
    <row r="47" spans="1:33" ht="13.8">
      <c r="A47" s="68"/>
      <c r="B47" s="69"/>
      <c r="C47" s="69"/>
      <c r="D47" s="70"/>
      <c r="E47" s="70"/>
      <c r="F47" s="69"/>
      <c r="G47" s="70"/>
      <c r="H47" s="71"/>
      <c r="R47" s="68" t="s">
        <v>141</v>
      </c>
      <c r="S47" s="70" t="s">
        <v>142</v>
      </c>
      <c r="T47" s="70" t="s">
        <v>126</v>
      </c>
      <c r="U47" s="70" t="str">
        <f t="shared" ref="U47" si="9">S47&amp;R47</f>
        <v>ADS自動駕駛系統部</v>
      </c>
      <c r="V47" s="70" t="s">
        <v>298</v>
      </c>
      <c r="W47" s="70" t="s">
        <v>383</v>
      </c>
      <c r="X47" s="70" t="str">
        <f>V47</f>
        <v>銀行手續費</v>
      </c>
      <c r="Y47" s="80">
        <v>0</v>
      </c>
      <c r="Z47" s="70" t="str">
        <f t="shared" ref="Z47" si="10">U47&amp;V47</f>
        <v>ADS自動駕駛系統部銀行手續費</v>
      </c>
      <c r="AA47" s="253" t="str">
        <f t="shared" ref="AA47" si="11">IF(OR(X47="旅費", X47="折舊及攤銷"), "無預算", IF(AND(ISNUMBER(Y47), Y47&lt;&gt;0), W47, "無預算"))</f>
        <v>無預算</v>
      </c>
    </row>
    <row r="48" spans="1:33" ht="13.8">
      <c r="A48" s="68"/>
      <c r="B48" s="69"/>
      <c r="C48" s="69"/>
      <c r="D48" s="111"/>
      <c r="E48" s="111"/>
      <c r="F48" s="110"/>
      <c r="G48" s="70"/>
      <c r="H48" s="71"/>
      <c r="R48" s="68" t="s">
        <v>141</v>
      </c>
      <c r="S48" s="70" t="s">
        <v>142</v>
      </c>
      <c r="T48" s="70" t="s">
        <v>126</v>
      </c>
      <c r="U48" s="70" t="str">
        <f t="shared" si="3"/>
        <v>ADS自動駕駛系統部</v>
      </c>
      <c r="V48" s="70" t="s">
        <v>303</v>
      </c>
      <c r="W48" s="70" t="s">
        <v>384</v>
      </c>
      <c r="X48" s="70" t="str">
        <f>V48</f>
        <v>其他費用</v>
      </c>
      <c r="Y48" s="80">
        <v>-954000</v>
      </c>
      <c r="Z48" s="70" t="str">
        <f t="shared" si="6"/>
        <v>ADS自動駕駛系統部其他費用</v>
      </c>
      <c r="AA48" s="253" t="str">
        <f t="shared" si="4"/>
        <v>115ADSSE99</v>
      </c>
    </row>
    <row r="49" spans="1:27" ht="13.8">
      <c r="A49" s="68"/>
      <c r="B49" s="69"/>
      <c r="C49" s="69"/>
      <c r="D49" s="111"/>
      <c r="E49" s="111"/>
      <c r="F49" s="110"/>
      <c r="G49" s="70"/>
      <c r="H49" s="71"/>
      <c r="R49" s="68" t="s">
        <v>153</v>
      </c>
      <c r="S49" s="70" t="s">
        <v>154</v>
      </c>
      <c r="T49" s="70" t="s">
        <v>126</v>
      </c>
      <c r="U49" s="70" t="str">
        <f t="shared" si="3"/>
        <v>S&amp;M營業行銷部</v>
      </c>
      <c r="V49" s="70" t="s">
        <v>127</v>
      </c>
      <c r="W49" s="70" t="s">
        <v>385</v>
      </c>
      <c r="X49" s="70" t="s">
        <v>129</v>
      </c>
      <c r="Y49" s="80">
        <v>-7960267</v>
      </c>
      <c r="Z49" s="70" t="str">
        <f t="shared" si="6"/>
        <v>S&amp;M營業行銷部人事費</v>
      </c>
      <c r="AA49" s="253" t="str">
        <f t="shared" si="4"/>
        <v>115S&amp;MSE01</v>
      </c>
    </row>
    <row r="50" spans="1:27" ht="13.8">
      <c r="A50" s="68"/>
      <c r="B50" s="69"/>
      <c r="C50" s="69"/>
      <c r="D50" s="70"/>
      <c r="E50" s="70"/>
      <c r="F50" s="70"/>
      <c r="G50" s="70"/>
      <c r="H50" s="71"/>
      <c r="R50" s="68" t="s">
        <v>153</v>
      </c>
      <c r="S50" s="70" t="s">
        <v>154</v>
      </c>
      <c r="T50" s="70" t="s">
        <v>126</v>
      </c>
      <c r="U50" s="70" t="str">
        <f t="shared" si="3"/>
        <v>S&amp;M營業行銷部</v>
      </c>
      <c r="V50" s="70" t="s">
        <v>50</v>
      </c>
      <c r="W50" s="70" t="s">
        <v>386</v>
      </c>
      <c r="X50" s="70" t="s">
        <v>50</v>
      </c>
      <c r="Y50" s="80">
        <v>0</v>
      </c>
      <c r="Z50" s="70" t="str">
        <f t="shared" si="6"/>
        <v>S&amp;M營業行銷部租金支出</v>
      </c>
      <c r="AA50" s="253" t="str">
        <f t="shared" si="4"/>
        <v>無預算</v>
      </c>
    </row>
    <row r="51" spans="1:27" ht="13.8">
      <c r="A51" s="68"/>
      <c r="B51" s="69"/>
      <c r="C51" s="69"/>
      <c r="D51" s="111"/>
      <c r="E51" s="111"/>
      <c r="F51" s="110"/>
      <c r="G51" s="70"/>
      <c r="H51" s="71"/>
      <c r="R51" s="68" t="s">
        <v>153</v>
      </c>
      <c r="S51" s="70" t="s">
        <v>154</v>
      </c>
      <c r="T51" s="70" t="s">
        <v>126</v>
      </c>
      <c r="U51" s="70" t="str">
        <f t="shared" si="3"/>
        <v>S&amp;M營業行銷部</v>
      </c>
      <c r="V51" s="70" t="s">
        <v>151</v>
      </c>
      <c r="W51" s="70" t="s">
        <v>387</v>
      </c>
      <c r="X51" s="70" t="s">
        <v>151</v>
      </c>
      <c r="Y51" s="80">
        <v>-540000</v>
      </c>
      <c r="Z51" s="70" t="str">
        <f t="shared" si="6"/>
        <v>S&amp;M營業行銷部旅費</v>
      </c>
      <c r="AA51" s="253" t="str">
        <f t="shared" si="4"/>
        <v>無預算</v>
      </c>
    </row>
    <row r="52" spans="1:27" ht="13.8">
      <c r="A52" s="68"/>
      <c r="B52" s="69"/>
      <c r="C52" s="69"/>
      <c r="D52" s="70"/>
      <c r="E52" s="70"/>
      <c r="F52" s="70"/>
      <c r="G52" s="70"/>
      <c r="H52" s="71"/>
      <c r="R52" s="68" t="s">
        <v>153</v>
      </c>
      <c r="S52" s="70" t="s">
        <v>154</v>
      </c>
      <c r="T52" s="70" t="s">
        <v>126</v>
      </c>
      <c r="U52" s="70" t="str">
        <f t="shared" si="3"/>
        <v>S&amp;M營業行銷部</v>
      </c>
      <c r="V52" s="70" t="s">
        <v>70</v>
      </c>
      <c r="W52" s="70" t="s">
        <v>388</v>
      </c>
      <c r="X52" s="70" t="s">
        <v>70</v>
      </c>
      <c r="Y52" s="80">
        <v>0</v>
      </c>
      <c r="Z52" s="70" t="str">
        <f t="shared" si="6"/>
        <v>S&amp;M營業行銷部運費</v>
      </c>
      <c r="AA52" s="253" t="str">
        <f t="shared" si="4"/>
        <v>無預算</v>
      </c>
    </row>
    <row r="53" spans="1:27" ht="13.8">
      <c r="A53" s="68"/>
      <c r="B53" s="69"/>
      <c r="C53" s="69"/>
      <c r="D53" s="111"/>
      <c r="E53" s="111"/>
      <c r="F53" s="110"/>
      <c r="G53" s="70"/>
      <c r="H53" s="71"/>
      <c r="R53" s="68" t="s">
        <v>153</v>
      </c>
      <c r="S53" s="70" t="s">
        <v>154</v>
      </c>
      <c r="T53" s="70" t="s">
        <v>126</v>
      </c>
      <c r="U53" s="70" t="str">
        <f t="shared" si="3"/>
        <v>S&amp;M營業行銷部</v>
      </c>
      <c r="V53" s="70" t="s">
        <v>62</v>
      </c>
      <c r="W53" s="70" t="s">
        <v>389</v>
      </c>
      <c r="X53" s="70" t="s">
        <v>62</v>
      </c>
      <c r="Y53" s="80">
        <v>0</v>
      </c>
      <c r="Z53" s="70" t="str">
        <f t="shared" si="6"/>
        <v>S&amp;M營業行銷部郵電費</v>
      </c>
      <c r="AA53" s="253" t="str">
        <f t="shared" si="4"/>
        <v>無預算</v>
      </c>
    </row>
    <row r="54" spans="1:27" ht="13.8">
      <c r="A54" s="68"/>
      <c r="B54" s="69"/>
      <c r="C54" s="69"/>
      <c r="D54" s="70"/>
      <c r="E54" s="70"/>
      <c r="F54" s="70"/>
      <c r="G54" s="70"/>
      <c r="H54" s="71"/>
      <c r="R54" s="68" t="s">
        <v>153</v>
      </c>
      <c r="S54" s="70" t="s">
        <v>154</v>
      </c>
      <c r="T54" s="70" t="s">
        <v>126</v>
      </c>
      <c r="U54" s="70" t="str">
        <f t="shared" si="3"/>
        <v>S&amp;M營業行銷部</v>
      </c>
      <c r="V54" s="70" t="s">
        <v>177</v>
      </c>
      <c r="W54" s="70" t="s">
        <v>390</v>
      </c>
      <c r="X54" s="70" t="s">
        <v>177</v>
      </c>
      <c r="Y54" s="80">
        <v>0</v>
      </c>
      <c r="Z54" s="70" t="str">
        <f t="shared" si="6"/>
        <v>S&amp;M營業行銷部修繕費</v>
      </c>
      <c r="AA54" s="253" t="str">
        <f t="shared" si="4"/>
        <v>無預算</v>
      </c>
    </row>
    <row r="55" spans="1:27" ht="13.8">
      <c r="A55" s="68"/>
      <c r="B55" s="69"/>
      <c r="C55" s="69"/>
      <c r="D55" s="69"/>
      <c r="E55" s="69"/>
      <c r="F55" s="69"/>
      <c r="G55" s="70"/>
      <c r="H55" s="71"/>
      <c r="R55" s="68" t="s">
        <v>153</v>
      </c>
      <c r="S55" s="70" t="s">
        <v>154</v>
      </c>
      <c r="T55" s="70" t="s">
        <v>126</v>
      </c>
      <c r="U55" s="70" t="str">
        <f t="shared" si="3"/>
        <v>S&amp;M營業行銷部</v>
      </c>
      <c r="V55" s="70" t="s">
        <v>54</v>
      </c>
      <c r="W55" s="70" t="s">
        <v>391</v>
      </c>
      <c r="X55" s="70" t="s">
        <v>54</v>
      </c>
      <c r="Y55" s="80">
        <v>-100000</v>
      </c>
      <c r="Z55" s="70" t="str">
        <f t="shared" si="6"/>
        <v>S&amp;M營業行銷部廣告費</v>
      </c>
      <c r="AA55" s="253" t="str">
        <f t="shared" si="4"/>
        <v>115S&amp;MSE07</v>
      </c>
    </row>
    <row r="56" spans="1:27" ht="13.8">
      <c r="A56" s="68"/>
      <c r="B56" s="69"/>
      <c r="C56" s="69"/>
      <c r="D56" s="69"/>
      <c r="E56" s="69"/>
      <c r="F56" s="69"/>
      <c r="G56" s="70"/>
      <c r="H56" s="71"/>
      <c r="R56" s="68" t="s">
        <v>153</v>
      </c>
      <c r="S56" s="70" t="s">
        <v>154</v>
      </c>
      <c r="T56" s="70" t="s">
        <v>126</v>
      </c>
      <c r="U56" s="70" t="str">
        <f t="shared" si="3"/>
        <v>S&amp;M營業行銷部</v>
      </c>
      <c r="V56" s="70" t="s">
        <v>195</v>
      </c>
      <c r="W56" s="70" t="s">
        <v>392</v>
      </c>
      <c r="X56" s="70" t="s">
        <v>195</v>
      </c>
      <c r="Y56" s="80">
        <v>-786000</v>
      </c>
      <c r="Z56" s="70" t="str">
        <f t="shared" si="6"/>
        <v>S&amp;M營業行銷部保險費</v>
      </c>
      <c r="AA56" s="253" t="str">
        <f t="shared" si="4"/>
        <v>115S&amp;MSE08</v>
      </c>
    </row>
    <row r="57" spans="1:27" ht="13.8">
      <c r="A57" s="68"/>
      <c r="B57" s="69"/>
      <c r="C57" s="69"/>
      <c r="D57" s="69"/>
      <c r="E57" s="69"/>
      <c r="F57" s="69"/>
      <c r="G57" s="70"/>
      <c r="H57" s="71"/>
      <c r="R57" s="68" t="s">
        <v>153</v>
      </c>
      <c r="S57" s="70" t="s">
        <v>154</v>
      </c>
      <c r="T57" s="70" t="s">
        <v>126</v>
      </c>
      <c r="U57" s="70" t="str">
        <f t="shared" si="3"/>
        <v>S&amp;M營業行銷部</v>
      </c>
      <c r="V57" s="70" t="s">
        <v>74</v>
      </c>
      <c r="W57" s="70" t="s">
        <v>393</v>
      </c>
      <c r="X57" s="70" t="s">
        <v>74</v>
      </c>
      <c r="Y57" s="80">
        <v>-120000</v>
      </c>
      <c r="Z57" s="70" t="str">
        <f t="shared" si="6"/>
        <v>S&amp;M營業行銷部交際費</v>
      </c>
      <c r="AA57" s="253" t="str">
        <f t="shared" si="4"/>
        <v>115S&amp;MSE09</v>
      </c>
    </row>
    <row r="58" spans="1:27" ht="13.8">
      <c r="A58" s="68"/>
      <c r="B58" s="69"/>
      <c r="C58" s="69"/>
      <c r="D58" s="69"/>
      <c r="E58" s="69"/>
      <c r="F58" s="69"/>
      <c r="G58" s="70"/>
      <c r="H58" s="71"/>
      <c r="R58" s="68" t="s">
        <v>153</v>
      </c>
      <c r="S58" s="70" t="s">
        <v>154</v>
      </c>
      <c r="T58" s="70" t="s">
        <v>126</v>
      </c>
      <c r="U58" s="70" t="str">
        <f t="shared" si="3"/>
        <v>S&amp;M營業行銷部</v>
      </c>
      <c r="V58" s="70" t="s">
        <v>217</v>
      </c>
      <c r="W58" s="70" t="s">
        <v>394</v>
      </c>
      <c r="X58" s="70" t="s">
        <v>217</v>
      </c>
      <c r="Y58" s="80">
        <v>-2018352</v>
      </c>
      <c r="Z58" s="70" t="str">
        <f t="shared" si="6"/>
        <v>S&amp;M營業行銷部折舊及攤銷</v>
      </c>
      <c r="AA58" s="253" t="str">
        <f t="shared" si="4"/>
        <v>無預算</v>
      </c>
    </row>
    <row r="59" spans="1:27" ht="13.8">
      <c r="A59" s="68"/>
      <c r="B59" s="69"/>
      <c r="C59" s="69"/>
      <c r="D59" s="69"/>
      <c r="E59" s="69"/>
      <c r="F59" s="69"/>
      <c r="G59" s="70"/>
      <c r="H59" s="71"/>
      <c r="J59" s="74"/>
      <c r="L59" s="74"/>
      <c r="R59" s="68" t="s">
        <v>153</v>
      </c>
      <c r="S59" s="70" t="s">
        <v>154</v>
      </c>
      <c r="T59" s="70" t="s">
        <v>126</v>
      </c>
      <c r="U59" s="70" t="str">
        <f t="shared" si="3"/>
        <v>S&amp;M營業行銷部</v>
      </c>
      <c r="V59" s="70" t="s">
        <v>78</v>
      </c>
      <c r="W59" s="70" t="s">
        <v>395</v>
      </c>
      <c r="X59" s="70" t="s">
        <v>78</v>
      </c>
      <c r="Y59" s="80">
        <v>-12000</v>
      </c>
      <c r="Z59" s="70" t="str">
        <f t="shared" si="6"/>
        <v>S&amp;M營業行銷部職工福利</v>
      </c>
      <c r="AA59" s="253" t="str">
        <f t="shared" si="4"/>
        <v>115S&amp;MSE11</v>
      </c>
    </row>
    <row r="60" spans="1:27" ht="13.8">
      <c r="A60" s="68"/>
      <c r="B60" s="69"/>
      <c r="C60" s="69"/>
      <c r="D60" s="69"/>
      <c r="E60" s="69"/>
      <c r="F60" s="69"/>
      <c r="G60" s="70"/>
      <c r="H60" s="71"/>
      <c r="J60" s="74"/>
      <c r="K60" s="74"/>
      <c r="L60" s="74"/>
      <c r="M60" s="74"/>
      <c r="N60" s="74"/>
      <c r="O60" s="74"/>
      <c r="P60" s="74"/>
      <c r="Q60" s="74"/>
      <c r="R60" s="68" t="s">
        <v>153</v>
      </c>
      <c r="S60" s="70" t="s">
        <v>154</v>
      </c>
      <c r="T60" s="70" t="s">
        <v>126</v>
      </c>
      <c r="U60" s="70" t="str">
        <f t="shared" si="3"/>
        <v>S&amp;M營業行銷部</v>
      </c>
      <c r="V60" s="70" t="s">
        <v>47</v>
      </c>
      <c r="W60" s="70" t="s">
        <v>396</v>
      </c>
      <c r="X60" s="70" t="s">
        <v>47</v>
      </c>
      <c r="Y60" s="80">
        <v>0</v>
      </c>
      <c r="Z60" s="70" t="str">
        <f t="shared" si="6"/>
        <v>S&amp;M營業行銷部訓練費</v>
      </c>
      <c r="AA60" s="253" t="str">
        <f t="shared" si="4"/>
        <v>無預算</v>
      </c>
    </row>
    <row r="61" spans="1:27" ht="13.8">
      <c r="A61" s="68"/>
      <c r="B61" s="69"/>
      <c r="C61" s="69"/>
      <c r="D61" s="69"/>
      <c r="E61" s="69"/>
      <c r="F61" s="69"/>
      <c r="G61" s="70"/>
      <c r="H61" s="71"/>
      <c r="K61" s="74"/>
      <c r="M61" s="74"/>
      <c r="N61" s="74"/>
      <c r="O61" s="74"/>
      <c r="P61" s="74"/>
      <c r="Q61" s="74"/>
      <c r="R61" s="68" t="s">
        <v>153</v>
      </c>
      <c r="S61" s="70" t="s">
        <v>154</v>
      </c>
      <c r="T61" s="70" t="s">
        <v>126</v>
      </c>
      <c r="U61" s="70" t="str">
        <f t="shared" si="3"/>
        <v>S&amp;M營業行銷部</v>
      </c>
      <c r="V61" s="70" t="s">
        <v>238</v>
      </c>
      <c r="W61" s="70" t="s">
        <v>397</v>
      </c>
      <c r="X61" s="70" t="str">
        <f>V61</f>
        <v>開發費</v>
      </c>
      <c r="Y61" s="80">
        <v>0</v>
      </c>
      <c r="Z61" s="70" t="str">
        <f t="shared" si="6"/>
        <v>S&amp;M營業行銷部開發費</v>
      </c>
      <c r="AA61" s="253" t="str">
        <f t="shared" si="4"/>
        <v>無預算</v>
      </c>
    </row>
    <row r="62" spans="1:27" ht="13.8">
      <c r="A62" s="68"/>
      <c r="B62" s="69"/>
      <c r="C62" s="70"/>
      <c r="D62" s="70"/>
      <c r="E62" s="70"/>
      <c r="F62" s="69"/>
      <c r="G62" s="69"/>
      <c r="H62" s="71"/>
      <c r="R62" s="68" t="s">
        <v>153</v>
      </c>
      <c r="S62" s="70" t="s">
        <v>154</v>
      </c>
      <c r="T62" s="70" t="s">
        <v>126</v>
      </c>
      <c r="U62" s="70" t="str">
        <f t="shared" si="3"/>
        <v>S&amp;M營業行銷部</v>
      </c>
      <c r="V62" s="70" t="s">
        <v>56</v>
      </c>
      <c r="W62" s="70" t="s">
        <v>398</v>
      </c>
      <c r="X62" s="70" t="s">
        <v>56</v>
      </c>
      <c r="Y62" s="80">
        <v>-465000</v>
      </c>
      <c r="Z62" s="70" t="str">
        <f t="shared" si="6"/>
        <v>S&amp;M營業行銷部勞務費</v>
      </c>
      <c r="AA62" s="253" t="str">
        <f t="shared" si="4"/>
        <v>115S&amp;MSE14</v>
      </c>
    </row>
    <row r="63" spans="1:27" ht="13.8">
      <c r="A63" s="68"/>
      <c r="B63" s="69"/>
      <c r="C63" s="70"/>
      <c r="D63" s="70"/>
      <c r="E63" s="70"/>
      <c r="F63" s="69"/>
      <c r="G63" s="69"/>
      <c r="H63" s="71"/>
      <c r="R63" s="68" t="s">
        <v>153</v>
      </c>
      <c r="S63" s="70" t="s">
        <v>154</v>
      </c>
      <c r="T63" s="70" t="s">
        <v>126</v>
      </c>
      <c r="U63" s="70" t="str">
        <f t="shared" si="3"/>
        <v>S&amp;M營業行銷部</v>
      </c>
      <c r="V63" s="70" t="s">
        <v>255</v>
      </c>
      <c r="W63" s="70" t="s">
        <v>399</v>
      </c>
      <c r="X63" s="70" t="s">
        <v>255</v>
      </c>
      <c r="Y63" s="80">
        <v>-60000</v>
      </c>
      <c r="Z63" s="70" t="str">
        <f t="shared" si="6"/>
        <v>S&amp;M營業行銷部交通費</v>
      </c>
      <c r="AA63" s="253" t="str">
        <f t="shared" si="4"/>
        <v>115S&amp;MSE15</v>
      </c>
    </row>
    <row r="64" spans="1:27" ht="13.8">
      <c r="A64" s="68"/>
      <c r="B64" s="69"/>
      <c r="C64" s="70"/>
      <c r="D64" s="70"/>
      <c r="E64" s="70"/>
      <c r="F64" s="69"/>
      <c r="G64" s="69"/>
      <c r="H64" s="71"/>
      <c r="R64" s="68" t="s">
        <v>153</v>
      </c>
      <c r="S64" s="70" t="s">
        <v>154</v>
      </c>
      <c r="T64" s="70" t="s">
        <v>126</v>
      </c>
      <c r="U64" s="70" t="str">
        <f t="shared" si="3"/>
        <v>S&amp;M營業行銷部</v>
      </c>
      <c r="V64" s="70" t="s">
        <v>262</v>
      </c>
      <c r="W64" s="70" t="s">
        <v>400</v>
      </c>
      <c r="X64" s="70" t="s">
        <v>262</v>
      </c>
      <c r="Y64" s="80">
        <v>0</v>
      </c>
      <c r="Z64" s="70" t="str">
        <f t="shared" si="6"/>
        <v>S&amp;M營業行銷部設備</v>
      </c>
      <c r="AA64" s="253" t="str">
        <f t="shared" si="4"/>
        <v>無預算</v>
      </c>
    </row>
    <row r="65" spans="1:27" ht="13.8">
      <c r="A65" s="68"/>
      <c r="B65" s="69"/>
      <c r="C65" s="70"/>
      <c r="D65" s="70"/>
      <c r="E65" s="70"/>
      <c r="F65" s="69"/>
      <c r="G65" s="69"/>
      <c r="H65" s="71"/>
      <c r="R65" s="68" t="s">
        <v>153</v>
      </c>
      <c r="S65" s="70" t="s">
        <v>154</v>
      </c>
      <c r="T65" s="70" t="s">
        <v>126</v>
      </c>
      <c r="U65" s="70" t="str">
        <f t="shared" si="3"/>
        <v>S&amp;M營業行銷部</v>
      </c>
      <c r="V65" s="70" t="s">
        <v>270</v>
      </c>
      <c r="W65" s="70" t="s">
        <v>401</v>
      </c>
      <c r="X65" s="70" t="str">
        <f>V65</f>
        <v>雜項購置</v>
      </c>
      <c r="Y65" s="80">
        <v>-80000</v>
      </c>
      <c r="Z65" s="70" t="str">
        <f t="shared" si="6"/>
        <v>S&amp;M營業行銷部雜項購置</v>
      </c>
      <c r="AA65" s="253" t="str">
        <f t="shared" si="4"/>
        <v>115S&amp;MSE17</v>
      </c>
    </row>
    <row r="66" spans="1:27" ht="13.8">
      <c r="A66" s="68"/>
      <c r="B66" s="69"/>
      <c r="C66" s="70"/>
      <c r="D66" s="70"/>
      <c r="E66" s="70"/>
      <c r="F66" s="69"/>
      <c r="G66" s="69"/>
      <c r="H66" s="71"/>
      <c r="R66" s="68" t="s">
        <v>153</v>
      </c>
      <c r="S66" s="70" t="s">
        <v>154</v>
      </c>
      <c r="T66" s="70" t="s">
        <v>126</v>
      </c>
      <c r="U66" s="70" t="str">
        <f t="shared" si="3"/>
        <v>S&amp;M營業行銷部</v>
      </c>
      <c r="V66" s="70" t="s">
        <v>276</v>
      </c>
      <c r="W66" s="70" t="s">
        <v>402</v>
      </c>
      <c r="X66" s="70" t="str">
        <f>V66</f>
        <v>退休金</v>
      </c>
      <c r="Y66" s="80">
        <v>-360000</v>
      </c>
      <c r="Z66" s="70" t="str">
        <f t="shared" si="6"/>
        <v>S&amp;M營業行銷部退休金</v>
      </c>
      <c r="AA66" s="253" t="str">
        <f t="shared" si="4"/>
        <v>115S&amp;MSE18</v>
      </c>
    </row>
    <row r="67" spans="1:27" ht="13.8">
      <c r="A67" s="68"/>
      <c r="B67" s="69"/>
      <c r="C67" s="69"/>
      <c r="D67" s="111"/>
      <c r="E67" s="111"/>
      <c r="F67" s="110"/>
      <c r="G67" s="70"/>
      <c r="H67" s="71"/>
      <c r="R67" s="68" t="s">
        <v>153</v>
      </c>
      <c r="S67" s="70" t="s">
        <v>154</v>
      </c>
      <c r="T67" s="70" t="s">
        <v>126</v>
      </c>
      <c r="U67" s="70" t="str">
        <f t="shared" si="3"/>
        <v>S&amp;M營業行銷部</v>
      </c>
      <c r="V67" s="70" t="s">
        <v>283</v>
      </c>
      <c r="W67" s="70" t="s">
        <v>403</v>
      </c>
      <c r="X67" s="70" t="str">
        <f t="shared" ref="X67:X69" si="12">V67</f>
        <v>文具用品</v>
      </c>
      <c r="Y67" s="80">
        <v>0</v>
      </c>
      <c r="Z67" s="70" t="str">
        <f t="shared" ref="Z67:Z133" si="13">U67&amp;V67</f>
        <v>S&amp;M營業行銷部文具用品</v>
      </c>
      <c r="AA67" s="253" t="str">
        <f t="shared" si="4"/>
        <v>無預算</v>
      </c>
    </row>
    <row r="68" spans="1:27" ht="13.8">
      <c r="A68" s="68"/>
      <c r="B68" s="69"/>
      <c r="C68" s="69"/>
      <c r="D68" s="70"/>
      <c r="E68" s="70"/>
      <c r="F68" s="69"/>
      <c r="G68" s="70"/>
      <c r="H68" s="71"/>
      <c r="R68" s="68" t="s">
        <v>153</v>
      </c>
      <c r="S68" s="70" t="s">
        <v>154</v>
      </c>
      <c r="T68" s="70" t="s">
        <v>126</v>
      </c>
      <c r="U68" s="70" t="str">
        <f t="shared" ref="U68:U134" si="14">S68&amp;R68</f>
        <v>S&amp;M營業行銷部</v>
      </c>
      <c r="V68" s="70" t="s">
        <v>288</v>
      </c>
      <c r="W68" s="70" t="s">
        <v>404</v>
      </c>
      <c r="X68" s="70" t="str">
        <f t="shared" si="12"/>
        <v>水電費</v>
      </c>
      <c r="Y68" s="80">
        <v>0</v>
      </c>
      <c r="Z68" s="70" t="str">
        <f t="shared" si="13"/>
        <v>S&amp;M營業行銷部水電費</v>
      </c>
      <c r="AA68" s="253" t="str">
        <f t="shared" ref="AA68:AA134" si="15">IF(OR(X68="旅費", X68="折舊及攤銷"), "無預算", IF(AND(ISNUMBER(Y68), Y68&lt;&gt;0), W68, "無預算"))</f>
        <v>無預算</v>
      </c>
    </row>
    <row r="69" spans="1:27" ht="13.8">
      <c r="A69" s="68"/>
      <c r="B69" s="69"/>
      <c r="C69" s="69"/>
      <c r="D69" s="70"/>
      <c r="E69" s="70"/>
      <c r="F69" s="69"/>
      <c r="G69" s="70"/>
      <c r="H69" s="71"/>
      <c r="R69" s="68" t="s">
        <v>153</v>
      </c>
      <c r="S69" s="70" t="s">
        <v>154</v>
      </c>
      <c r="T69" s="70" t="s">
        <v>126</v>
      </c>
      <c r="U69" s="70" t="str">
        <f t="shared" si="14"/>
        <v>S&amp;M營業行銷部</v>
      </c>
      <c r="V69" s="70" t="s">
        <v>293</v>
      </c>
      <c r="W69" s="70" t="s">
        <v>405</v>
      </c>
      <c r="X69" s="70" t="str">
        <f t="shared" si="12"/>
        <v>捐贈</v>
      </c>
      <c r="Y69" s="80">
        <v>0</v>
      </c>
      <c r="Z69" s="70" t="str">
        <f t="shared" si="13"/>
        <v>S&amp;M營業行銷部捐贈</v>
      </c>
      <c r="AA69" s="253" t="str">
        <f t="shared" si="15"/>
        <v>無預算</v>
      </c>
    </row>
    <row r="70" spans="1:27" ht="13.8">
      <c r="A70" s="68"/>
      <c r="B70" s="69"/>
      <c r="C70" s="69"/>
      <c r="D70" s="111"/>
      <c r="E70" s="111"/>
      <c r="F70" s="110"/>
      <c r="G70" s="70"/>
      <c r="H70" s="71"/>
      <c r="R70" s="68" t="s">
        <v>153</v>
      </c>
      <c r="S70" s="70" t="s">
        <v>154</v>
      </c>
      <c r="T70" s="70" t="s">
        <v>126</v>
      </c>
      <c r="U70" s="70" t="str">
        <f t="shared" si="14"/>
        <v>S&amp;M營業行銷部</v>
      </c>
      <c r="V70" s="70" t="s">
        <v>298</v>
      </c>
      <c r="W70" s="70" t="s">
        <v>406</v>
      </c>
      <c r="X70" s="70" t="str">
        <f>V70</f>
        <v>銀行手續費</v>
      </c>
      <c r="Y70" s="80">
        <v>0</v>
      </c>
      <c r="Z70" s="70" t="str">
        <f t="shared" si="13"/>
        <v>S&amp;M營業行銷部銀行手續費</v>
      </c>
      <c r="AA70" s="253" t="str">
        <f t="shared" si="15"/>
        <v>無預算</v>
      </c>
    </row>
    <row r="71" spans="1:27" ht="13.8">
      <c r="A71" s="68"/>
      <c r="B71" s="69"/>
      <c r="C71" s="69"/>
      <c r="D71" s="111"/>
      <c r="E71" s="111"/>
      <c r="F71" s="110"/>
      <c r="G71" s="70"/>
      <c r="H71" s="71"/>
      <c r="R71" s="68" t="s">
        <v>153</v>
      </c>
      <c r="S71" s="70" t="s">
        <v>154</v>
      </c>
      <c r="T71" s="70" t="s">
        <v>126</v>
      </c>
      <c r="U71" s="70" t="str">
        <f t="shared" si="14"/>
        <v>S&amp;M營業行銷部</v>
      </c>
      <c r="V71" s="70" t="s">
        <v>303</v>
      </c>
      <c r="W71" s="70" t="s">
        <v>407</v>
      </c>
      <c r="X71" s="70" t="str">
        <f>V71</f>
        <v>其他費用</v>
      </c>
      <c r="Y71" s="80">
        <v>-462000</v>
      </c>
      <c r="Z71" s="70" t="str">
        <f t="shared" si="13"/>
        <v>S&amp;M營業行銷部其他費用</v>
      </c>
      <c r="AA71" s="253" t="str">
        <f t="shared" si="15"/>
        <v>115S&amp;MSE99</v>
      </c>
    </row>
    <row r="72" spans="1:27" ht="13.8">
      <c r="A72" s="68"/>
      <c r="B72" s="69"/>
      <c r="C72" s="69"/>
      <c r="D72" s="70"/>
      <c r="E72" s="70"/>
      <c r="F72" s="70"/>
      <c r="G72" s="70"/>
      <c r="H72" s="71"/>
      <c r="R72" s="68" t="s">
        <v>116</v>
      </c>
      <c r="S72" s="70" t="s">
        <v>117</v>
      </c>
      <c r="T72" s="70" t="s">
        <v>126</v>
      </c>
      <c r="U72" s="70" t="str">
        <f t="shared" si="14"/>
        <v>CO董事長室</v>
      </c>
      <c r="V72" s="70" t="s">
        <v>127</v>
      </c>
      <c r="W72" s="70" t="s">
        <v>408</v>
      </c>
      <c r="X72" s="70" t="s">
        <v>129</v>
      </c>
      <c r="Y72" s="80">
        <v>-2745838</v>
      </c>
      <c r="Z72" s="70" t="str">
        <f t="shared" si="13"/>
        <v>CO董事長室人事費</v>
      </c>
      <c r="AA72" s="253" t="str">
        <f t="shared" si="15"/>
        <v>115COSE01</v>
      </c>
    </row>
    <row r="73" spans="1:27" ht="13.8">
      <c r="A73" s="68"/>
      <c r="B73" s="69"/>
      <c r="C73" s="69"/>
      <c r="D73" s="111"/>
      <c r="E73" s="111"/>
      <c r="F73" s="110"/>
      <c r="G73" s="70"/>
      <c r="H73" s="71"/>
      <c r="R73" s="68" t="s">
        <v>116</v>
      </c>
      <c r="S73" s="70" t="s">
        <v>117</v>
      </c>
      <c r="T73" s="70" t="s">
        <v>126</v>
      </c>
      <c r="U73" s="70" t="str">
        <f t="shared" si="14"/>
        <v>CO董事長室</v>
      </c>
      <c r="V73" s="70" t="s">
        <v>50</v>
      </c>
      <c r="W73" s="70" t="s">
        <v>409</v>
      </c>
      <c r="X73" s="70" t="s">
        <v>50</v>
      </c>
      <c r="Y73" s="80">
        <v>0</v>
      </c>
      <c r="Z73" s="70" t="str">
        <f t="shared" si="13"/>
        <v>CO董事長室租金支出</v>
      </c>
      <c r="AA73" s="253" t="str">
        <f t="shared" si="15"/>
        <v>無預算</v>
      </c>
    </row>
    <row r="74" spans="1:27" ht="13.8">
      <c r="A74" s="68"/>
      <c r="B74" s="69"/>
      <c r="C74" s="69"/>
      <c r="D74" s="70"/>
      <c r="E74" s="70"/>
      <c r="F74" s="70"/>
      <c r="G74" s="70"/>
      <c r="H74" s="71"/>
      <c r="R74" s="68" t="s">
        <v>116</v>
      </c>
      <c r="S74" s="70" t="s">
        <v>117</v>
      </c>
      <c r="T74" s="70" t="s">
        <v>126</v>
      </c>
      <c r="U74" s="70" t="str">
        <f t="shared" si="14"/>
        <v>CO董事長室</v>
      </c>
      <c r="V74" s="70" t="s">
        <v>151</v>
      </c>
      <c r="W74" s="70" t="s">
        <v>410</v>
      </c>
      <c r="X74" s="70" t="s">
        <v>151</v>
      </c>
      <c r="Y74" s="80">
        <v>-120000</v>
      </c>
      <c r="Z74" s="70" t="str">
        <f t="shared" si="13"/>
        <v>CO董事長室旅費</v>
      </c>
      <c r="AA74" s="253" t="str">
        <f t="shared" si="15"/>
        <v>無預算</v>
      </c>
    </row>
    <row r="75" spans="1:27" ht="13.8">
      <c r="A75" s="68"/>
      <c r="B75" s="69"/>
      <c r="C75" s="69"/>
      <c r="D75" s="111"/>
      <c r="E75" s="111"/>
      <c r="F75" s="110"/>
      <c r="G75" s="70"/>
      <c r="H75" s="71"/>
      <c r="R75" s="68" t="s">
        <v>116</v>
      </c>
      <c r="S75" s="70" t="s">
        <v>117</v>
      </c>
      <c r="T75" s="70" t="s">
        <v>126</v>
      </c>
      <c r="U75" s="70" t="str">
        <f t="shared" si="14"/>
        <v>CO董事長室</v>
      </c>
      <c r="V75" s="70" t="s">
        <v>70</v>
      </c>
      <c r="W75" s="70" t="s">
        <v>411</v>
      </c>
      <c r="X75" s="70" t="s">
        <v>70</v>
      </c>
      <c r="Y75" s="80">
        <v>0</v>
      </c>
      <c r="Z75" s="70" t="str">
        <f t="shared" si="13"/>
        <v>CO董事長室運費</v>
      </c>
      <c r="AA75" s="253" t="str">
        <f t="shared" si="15"/>
        <v>無預算</v>
      </c>
    </row>
    <row r="76" spans="1:27" ht="13.8">
      <c r="A76" s="68"/>
      <c r="B76" s="69"/>
      <c r="C76" s="69"/>
      <c r="D76" s="70"/>
      <c r="E76" s="70"/>
      <c r="F76" s="70"/>
      <c r="G76" s="70"/>
      <c r="H76" s="71"/>
      <c r="R76" s="68" t="s">
        <v>116</v>
      </c>
      <c r="S76" s="70" t="s">
        <v>117</v>
      </c>
      <c r="T76" s="70" t="s">
        <v>126</v>
      </c>
      <c r="U76" s="70" t="str">
        <f t="shared" si="14"/>
        <v>CO董事長室</v>
      </c>
      <c r="V76" s="70" t="s">
        <v>62</v>
      </c>
      <c r="W76" s="70" t="s">
        <v>412</v>
      </c>
      <c r="X76" s="70" t="s">
        <v>62</v>
      </c>
      <c r="Y76" s="80">
        <v>0</v>
      </c>
      <c r="Z76" s="70" t="str">
        <f t="shared" si="13"/>
        <v>CO董事長室郵電費</v>
      </c>
      <c r="AA76" s="253" t="str">
        <f t="shared" si="15"/>
        <v>無預算</v>
      </c>
    </row>
    <row r="77" spans="1:27" ht="13.8">
      <c r="A77" s="68"/>
      <c r="B77" s="69"/>
      <c r="C77" s="69"/>
      <c r="D77" s="69"/>
      <c r="E77" s="69"/>
      <c r="F77" s="69"/>
      <c r="G77" s="70"/>
      <c r="H77" s="71"/>
      <c r="R77" s="68" t="s">
        <v>116</v>
      </c>
      <c r="S77" s="70" t="s">
        <v>117</v>
      </c>
      <c r="T77" s="70" t="s">
        <v>126</v>
      </c>
      <c r="U77" s="70" t="str">
        <f t="shared" si="14"/>
        <v>CO董事長室</v>
      </c>
      <c r="V77" s="70" t="s">
        <v>177</v>
      </c>
      <c r="W77" s="70" t="s">
        <v>413</v>
      </c>
      <c r="X77" s="70" t="s">
        <v>177</v>
      </c>
      <c r="Y77" s="80">
        <v>0</v>
      </c>
      <c r="Z77" s="70" t="str">
        <f t="shared" si="13"/>
        <v>CO董事長室修繕費</v>
      </c>
      <c r="AA77" s="253" t="str">
        <f t="shared" si="15"/>
        <v>無預算</v>
      </c>
    </row>
    <row r="78" spans="1:27" ht="13.8">
      <c r="A78" s="68"/>
      <c r="B78" s="69"/>
      <c r="C78" s="69"/>
      <c r="D78" s="69"/>
      <c r="E78" s="69"/>
      <c r="F78" s="69"/>
      <c r="G78" s="70"/>
      <c r="H78" s="71"/>
      <c r="R78" s="68" t="s">
        <v>116</v>
      </c>
      <c r="S78" s="70" t="s">
        <v>117</v>
      </c>
      <c r="T78" s="70" t="s">
        <v>126</v>
      </c>
      <c r="U78" s="70" t="str">
        <f t="shared" si="14"/>
        <v>CO董事長室</v>
      </c>
      <c r="V78" s="70" t="s">
        <v>54</v>
      </c>
      <c r="W78" s="70" t="s">
        <v>414</v>
      </c>
      <c r="X78" s="70" t="s">
        <v>54</v>
      </c>
      <c r="Y78" s="80">
        <v>0</v>
      </c>
      <c r="Z78" s="70" t="str">
        <f t="shared" si="13"/>
        <v>CO董事長室廣告費</v>
      </c>
      <c r="AA78" s="253" t="str">
        <f t="shared" si="15"/>
        <v>無預算</v>
      </c>
    </row>
    <row r="79" spans="1:27" ht="13.8">
      <c r="A79" s="68"/>
      <c r="B79" s="69"/>
      <c r="C79" s="69"/>
      <c r="D79" s="69"/>
      <c r="E79" s="69"/>
      <c r="F79" s="69"/>
      <c r="G79" s="70"/>
      <c r="H79" s="71"/>
      <c r="R79" s="68" t="s">
        <v>116</v>
      </c>
      <c r="S79" s="70" t="s">
        <v>117</v>
      </c>
      <c r="T79" s="70" t="s">
        <v>126</v>
      </c>
      <c r="U79" s="70" t="str">
        <f t="shared" si="14"/>
        <v>CO董事長室</v>
      </c>
      <c r="V79" s="70" t="s">
        <v>195</v>
      </c>
      <c r="W79" s="70" t="s">
        <v>415</v>
      </c>
      <c r="X79" s="70" t="s">
        <v>195</v>
      </c>
      <c r="Y79" s="80">
        <v>-229304</v>
      </c>
      <c r="Z79" s="70" t="str">
        <f t="shared" si="13"/>
        <v>CO董事長室保險費</v>
      </c>
      <c r="AA79" s="253" t="str">
        <f t="shared" si="15"/>
        <v>115COSE08</v>
      </c>
    </row>
    <row r="80" spans="1:27" ht="13.8">
      <c r="A80" s="68"/>
      <c r="B80" s="69"/>
      <c r="C80" s="69"/>
      <c r="D80" s="69"/>
      <c r="E80" s="69"/>
      <c r="F80" s="69"/>
      <c r="G80" s="70"/>
      <c r="H80" s="71"/>
      <c r="R80" s="68" t="s">
        <v>116</v>
      </c>
      <c r="S80" s="70" t="s">
        <v>117</v>
      </c>
      <c r="T80" s="70" t="s">
        <v>126</v>
      </c>
      <c r="U80" s="70" t="str">
        <f t="shared" si="14"/>
        <v>CO董事長室</v>
      </c>
      <c r="V80" s="70" t="s">
        <v>74</v>
      </c>
      <c r="W80" s="70" t="s">
        <v>416</v>
      </c>
      <c r="X80" s="70" t="s">
        <v>74</v>
      </c>
      <c r="Y80" s="80">
        <v>-120000</v>
      </c>
      <c r="Z80" s="70" t="str">
        <f t="shared" si="13"/>
        <v>CO董事長室交際費</v>
      </c>
      <c r="AA80" s="253" t="str">
        <f t="shared" si="15"/>
        <v>115COSE09</v>
      </c>
    </row>
    <row r="81" spans="1:27" ht="13.8">
      <c r="A81" s="68"/>
      <c r="B81" s="69"/>
      <c r="C81" s="69"/>
      <c r="D81" s="69"/>
      <c r="E81" s="69"/>
      <c r="F81" s="69"/>
      <c r="G81" s="70"/>
      <c r="H81" s="71"/>
      <c r="J81" s="74"/>
      <c r="L81" s="74"/>
      <c r="R81" s="68" t="s">
        <v>116</v>
      </c>
      <c r="S81" s="70" t="s">
        <v>117</v>
      </c>
      <c r="T81" s="70" t="s">
        <v>126</v>
      </c>
      <c r="U81" s="70" t="str">
        <f t="shared" si="14"/>
        <v>CO董事長室</v>
      </c>
      <c r="V81" s="70" t="s">
        <v>217</v>
      </c>
      <c r="W81" s="70" t="s">
        <v>417</v>
      </c>
      <c r="X81" s="70" t="s">
        <v>217</v>
      </c>
      <c r="Y81" s="80">
        <v>0</v>
      </c>
      <c r="Z81" s="70" t="str">
        <f t="shared" si="13"/>
        <v>CO董事長室折舊及攤銷</v>
      </c>
      <c r="AA81" s="253" t="str">
        <f t="shared" si="15"/>
        <v>無預算</v>
      </c>
    </row>
    <row r="82" spans="1:27" ht="13.8">
      <c r="A82" s="68"/>
      <c r="B82" s="69"/>
      <c r="C82" s="69"/>
      <c r="D82" s="69"/>
      <c r="E82" s="69"/>
      <c r="F82" s="69"/>
      <c r="G82" s="70"/>
      <c r="H82" s="71"/>
      <c r="J82" s="74"/>
      <c r="K82" s="74"/>
      <c r="L82" s="74"/>
      <c r="M82" s="74"/>
      <c r="N82" s="74"/>
      <c r="O82" s="74"/>
      <c r="P82" s="74"/>
      <c r="Q82" s="74"/>
      <c r="R82" s="68" t="s">
        <v>116</v>
      </c>
      <c r="S82" s="70" t="s">
        <v>117</v>
      </c>
      <c r="T82" s="70" t="s">
        <v>126</v>
      </c>
      <c r="U82" s="70" t="str">
        <f t="shared" si="14"/>
        <v>CO董事長室</v>
      </c>
      <c r="V82" s="70" t="s">
        <v>78</v>
      </c>
      <c r="W82" s="70" t="s">
        <v>418</v>
      </c>
      <c r="X82" s="70" t="s">
        <v>78</v>
      </c>
      <c r="Y82" s="80">
        <v>0</v>
      </c>
      <c r="Z82" s="70" t="str">
        <f t="shared" si="13"/>
        <v>CO董事長室職工福利</v>
      </c>
      <c r="AA82" s="253" t="str">
        <f t="shared" si="15"/>
        <v>無預算</v>
      </c>
    </row>
    <row r="83" spans="1:27" ht="13.8">
      <c r="A83" s="68"/>
      <c r="B83" s="69"/>
      <c r="C83" s="69"/>
      <c r="D83" s="69"/>
      <c r="E83" s="69"/>
      <c r="F83" s="69"/>
      <c r="G83" s="70"/>
      <c r="H83" s="71"/>
      <c r="K83" s="74"/>
      <c r="M83" s="74"/>
      <c r="N83" s="74"/>
      <c r="O83" s="74"/>
      <c r="P83" s="74"/>
      <c r="Q83" s="74"/>
      <c r="R83" s="68" t="s">
        <v>116</v>
      </c>
      <c r="S83" s="70" t="s">
        <v>117</v>
      </c>
      <c r="T83" s="70" t="s">
        <v>126</v>
      </c>
      <c r="U83" s="70" t="str">
        <f t="shared" si="14"/>
        <v>CO董事長室</v>
      </c>
      <c r="V83" s="70" t="s">
        <v>47</v>
      </c>
      <c r="W83" s="70" t="s">
        <v>419</v>
      </c>
      <c r="X83" s="70" t="s">
        <v>47</v>
      </c>
      <c r="Y83" s="80">
        <v>0</v>
      </c>
      <c r="Z83" s="70" t="str">
        <f t="shared" si="13"/>
        <v>CO董事長室訓練費</v>
      </c>
      <c r="AA83" s="253" t="str">
        <f t="shared" si="15"/>
        <v>無預算</v>
      </c>
    </row>
    <row r="84" spans="1:27" ht="13.8">
      <c r="A84" s="68"/>
      <c r="B84" s="69"/>
      <c r="C84" s="70"/>
      <c r="D84" s="70"/>
      <c r="E84" s="70"/>
      <c r="F84" s="69"/>
      <c r="G84" s="69"/>
      <c r="H84" s="71"/>
      <c r="R84" s="68" t="s">
        <v>116</v>
      </c>
      <c r="S84" s="70" t="s">
        <v>117</v>
      </c>
      <c r="T84" s="70" t="s">
        <v>126</v>
      </c>
      <c r="U84" s="70" t="str">
        <f t="shared" si="14"/>
        <v>CO董事長室</v>
      </c>
      <c r="V84" s="70" t="s">
        <v>238</v>
      </c>
      <c r="W84" s="70" t="s">
        <v>420</v>
      </c>
      <c r="X84" s="70" t="str">
        <f>V84</f>
        <v>開發費</v>
      </c>
      <c r="Y84" s="80">
        <v>0</v>
      </c>
      <c r="Z84" s="70" t="str">
        <f t="shared" si="13"/>
        <v>CO董事長室開發費</v>
      </c>
      <c r="AA84" s="253" t="str">
        <f t="shared" si="15"/>
        <v>無預算</v>
      </c>
    </row>
    <row r="85" spans="1:27" ht="13.8">
      <c r="A85" s="68"/>
      <c r="B85" s="69"/>
      <c r="C85" s="70"/>
      <c r="D85" s="70"/>
      <c r="E85" s="70"/>
      <c r="F85" s="69"/>
      <c r="G85" s="69"/>
      <c r="H85" s="71"/>
      <c r="R85" s="68" t="s">
        <v>116</v>
      </c>
      <c r="S85" s="70" t="s">
        <v>117</v>
      </c>
      <c r="T85" s="70" t="s">
        <v>126</v>
      </c>
      <c r="U85" s="70" t="str">
        <f t="shared" si="14"/>
        <v>CO董事長室</v>
      </c>
      <c r="V85" s="70" t="s">
        <v>56</v>
      </c>
      <c r="W85" s="70" t="s">
        <v>421</v>
      </c>
      <c r="X85" s="70" t="s">
        <v>56</v>
      </c>
      <c r="Y85" s="80">
        <v>-378000</v>
      </c>
      <c r="Z85" s="70" t="str">
        <f t="shared" si="13"/>
        <v>CO董事長室勞務費</v>
      </c>
      <c r="AA85" s="253" t="str">
        <f t="shared" si="15"/>
        <v>115COSE14</v>
      </c>
    </row>
    <row r="86" spans="1:27" ht="13.8">
      <c r="A86" s="68"/>
      <c r="B86" s="69"/>
      <c r="C86" s="70"/>
      <c r="D86" s="70"/>
      <c r="E86" s="70"/>
      <c r="F86" s="69"/>
      <c r="G86" s="69"/>
      <c r="H86" s="71"/>
      <c r="R86" s="68" t="s">
        <v>116</v>
      </c>
      <c r="S86" s="70" t="s">
        <v>117</v>
      </c>
      <c r="T86" s="70" t="s">
        <v>126</v>
      </c>
      <c r="U86" s="70" t="str">
        <f t="shared" si="14"/>
        <v>CO董事長室</v>
      </c>
      <c r="V86" s="70" t="s">
        <v>255</v>
      </c>
      <c r="W86" s="70" t="s">
        <v>422</v>
      </c>
      <c r="X86" s="70" t="s">
        <v>255</v>
      </c>
      <c r="Y86" s="80">
        <v>0</v>
      </c>
      <c r="Z86" s="70" t="str">
        <f t="shared" si="13"/>
        <v>CO董事長室交通費</v>
      </c>
      <c r="AA86" s="253" t="str">
        <f t="shared" si="15"/>
        <v>無預算</v>
      </c>
    </row>
    <row r="87" spans="1:27" ht="13.8">
      <c r="A87" s="68"/>
      <c r="B87" s="69"/>
      <c r="C87" s="70"/>
      <c r="D87" s="70"/>
      <c r="E87" s="70"/>
      <c r="F87" s="69"/>
      <c r="G87" s="69"/>
      <c r="H87" s="71"/>
      <c r="R87" s="68" t="s">
        <v>116</v>
      </c>
      <c r="S87" s="70" t="s">
        <v>117</v>
      </c>
      <c r="T87" s="70" t="s">
        <v>126</v>
      </c>
      <c r="U87" s="70" t="str">
        <f t="shared" si="14"/>
        <v>CO董事長室</v>
      </c>
      <c r="V87" s="70" t="s">
        <v>262</v>
      </c>
      <c r="W87" s="70" t="s">
        <v>423</v>
      </c>
      <c r="X87" s="70" t="s">
        <v>262</v>
      </c>
      <c r="Y87" s="80">
        <v>0</v>
      </c>
      <c r="Z87" s="70" t="str">
        <f t="shared" si="13"/>
        <v>CO董事長室設備</v>
      </c>
      <c r="AA87" s="253" t="str">
        <f t="shared" si="15"/>
        <v>無預算</v>
      </c>
    </row>
    <row r="88" spans="1:27" ht="13.8">
      <c r="A88" s="68"/>
      <c r="B88" s="69"/>
      <c r="C88" s="70"/>
      <c r="D88" s="70"/>
      <c r="E88" s="70"/>
      <c r="F88" s="69"/>
      <c r="G88" s="69"/>
      <c r="H88" s="71"/>
      <c r="R88" s="68" t="s">
        <v>116</v>
      </c>
      <c r="S88" s="70" t="s">
        <v>117</v>
      </c>
      <c r="T88" s="70" t="s">
        <v>126</v>
      </c>
      <c r="U88" s="70" t="str">
        <f t="shared" si="14"/>
        <v>CO董事長室</v>
      </c>
      <c r="V88" s="70" t="s">
        <v>270</v>
      </c>
      <c r="W88" s="70" t="s">
        <v>424</v>
      </c>
      <c r="X88" s="70" t="str">
        <f>V88</f>
        <v>雜項購置</v>
      </c>
      <c r="Y88" s="80">
        <v>0</v>
      </c>
      <c r="Z88" s="70" t="str">
        <f t="shared" si="13"/>
        <v>CO董事長室雜項購置</v>
      </c>
      <c r="AA88" s="253" t="str">
        <f t="shared" si="15"/>
        <v>無預算</v>
      </c>
    </row>
    <row r="89" spans="1:27" ht="13.8">
      <c r="A89" s="68"/>
      <c r="B89" s="69"/>
      <c r="C89" s="69"/>
      <c r="D89" s="111"/>
      <c r="E89" s="111"/>
      <c r="F89" s="110"/>
      <c r="G89" s="70"/>
      <c r="H89" s="71"/>
      <c r="R89" s="68" t="s">
        <v>116</v>
      </c>
      <c r="S89" s="70" t="s">
        <v>117</v>
      </c>
      <c r="T89" s="70" t="s">
        <v>126</v>
      </c>
      <c r="U89" s="70" t="str">
        <f t="shared" si="14"/>
        <v>CO董事長室</v>
      </c>
      <c r="V89" s="70" t="s">
        <v>276</v>
      </c>
      <c r="W89" s="70" t="s">
        <v>425</v>
      </c>
      <c r="X89" s="70" t="str">
        <f>V89</f>
        <v>退休金</v>
      </c>
      <c r="Y89" s="80">
        <v>-24192</v>
      </c>
      <c r="Z89" s="70" t="str">
        <f t="shared" si="13"/>
        <v>CO董事長室退休金</v>
      </c>
      <c r="AA89" s="253" t="str">
        <f t="shared" si="15"/>
        <v>115COSE18</v>
      </c>
    </row>
    <row r="90" spans="1:27" ht="13.8">
      <c r="A90" s="68"/>
      <c r="B90" s="69"/>
      <c r="C90" s="69"/>
      <c r="D90" s="70"/>
      <c r="E90" s="70"/>
      <c r="F90" s="69"/>
      <c r="G90" s="70"/>
      <c r="H90" s="71"/>
      <c r="R90" s="68" t="s">
        <v>116</v>
      </c>
      <c r="S90" s="70" t="s">
        <v>117</v>
      </c>
      <c r="T90" s="70" t="s">
        <v>126</v>
      </c>
      <c r="U90" s="70" t="str">
        <f t="shared" si="14"/>
        <v>CO董事長室</v>
      </c>
      <c r="V90" s="70" t="s">
        <v>283</v>
      </c>
      <c r="W90" s="70" t="s">
        <v>426</v>
      </c>
      <c r="X90" s="70" t="str">
        <f t="shared" ref="X90:X92" si="16">V90</f>
        <v>文具用品</v>
      </c>
      <c r="Y90" s="80">
        <v>0</v>
      </c>
      <c r="Z90" s="70" t="str">
        <f t="shared" si="13"/>
        <v>CO董事長室文具用品</v>
      </c>
      <c r="AA90" s="253" t="str">
        <f t="shared" si="15"/>
        <v>無預算</v>
      </c>
    </row>
    <row r="91" spans="1:27" ht="13.8">
      <c r="A91" s="68"/>
      <c r="B91" s="69"/>
      <c r="C91" s="69"/>
      <c r="D91" s="70"/>
      <c r="E91" s="70"/>
      <c r="F91" s="69"/>
      <c r="G91" s="70"/>
      <c r="H91" s="71"/>
      <c r="R91" s="68" t="s">
        <v>116</v>
      </c>
      <c r="S91" s="70" t="s">
        <v>117</v>
      </c>
      <c r="T91" s="70" t="s">
        <v>126</v>
      </c>
      <c r="U91" s="70" t="str">
        <f t="shared" si="14"/>
        <v>CO董事長室</v>
      </c>
      <c r="V91" s="70" t="s">
        <v>288</v>
      </c>
      <c r="W91" s="70" t="s">
        <v>427</v>
      </c>
      <c r="X91" s="70" t="str">
        <f t="shared" si="16"/>
        <v>水電費</v>
      </c>
      <c r="Y91" s="80">
        <v>0</v>
      </c>
      <c r="Z91" s="70" t="str">
        <f t="shared" si="13"/>
        <v>CO董事長室水電費</v>
      </c>
      <c r="AA91" s="253" t="str">
        <f t="shared" si="15"/>
        <v>無預算</v>
      </c>
    </row>
    <row r="92" spans="1:27" ht="13.8">
      <c r="A92" s="68"/>
      <c r="B92" s="69"/>
      <c r="C92" s="69"/>
      <c r="D92" s="111"/>
      <c r="E92" s="111"/>
      <c r="F92" s="110"/>
      <c r="G92" s="70"/>
      <c r="H92" s="71"/>
      <c r="R92" s="68" t="s">
        <v>116</v>
      </c>
      <c r="S92" s="70" t="s">
        <v>117</v>
      </c>
      <c r="T92" s="70" t="s">
        <v>126</v>
      </c>
      <c r="U92" s="70" t="str">
        <f t="shared" si="14"/>
        <v>CO董事長室</v>
      </c>
      <c r="V92" s="70" t="s">
        <v>293</v>
      </c>
      <c r="W92" s="70" t="s">
        <v>428</v>
      </c>
      <c r="X92" s="70" t="str">
        <f t="shared" si="16"/>
        <v>捐贈</v>
      </c>
      <c r="Y92" s="80">
        <v>0</v>
      </c>
      <c r="Z92" s="70" t="str">
        <f t="shared" si="13"/>
        <v>CO董事長室捐贈</v>
      </c>
      <c r="AA92" s="253" t="str">
        <f t="shared" si="15"/>
        <v>無預算</v>
      </c>
    </row>
    <row r="93" spans="1:27" ht="13.8">
      <c r="A93" s="68"/>
      <c r="B93" s="69"/>
      <c r="C93" s="69"/>
      <c r="D93" s="111"/>
      <c r="E93" s="111"/>
      <c r="F93" s="110"/>
      <c r="G93" s="70"/>
      <c r="H93" s="71"/>
      <c r="R93" s="68" t="s">
        <v>116</v>
      </c>
      <c r="S93" s="70" t="s">
        <v>117</v>
      </c>
      <c r="T93" s="70" t="s">
        <v>126</v>
      </c>
      <c r="U93" s="70" t="str">
        <f t="shared" ref="U93" si="17">S93&amp;R93</f>
        <v>CO董事長室</v>
      </c>
      <c r="V93" s="70" t="s">
        <v>298</v>
      </c>
      <c r="W93" s="70" t="s">
        <v>429</v>
      </c>
      <c r="X93" s="70" t="str">
        <f>V93</f>
        <v>銀行手續費</v>
      </c>
      <c r="Y93" s="80">
        <v>0</v>
      </c>
      <c r="Z93" s="70" t="str">
        <f t="shared" ref="Z93" si="18">U93&amp;V93</f>
        <v>CO董事長室銀行手續費</v>
      </c>
      <c r="AA93" s="253" t="str">
        <f t="shared" ref="AA93" si="19">IF(OR(X93="旅費", X93="折舊及攤銷"), "無預算", IF(AND(ISNUMBER(Y93), Y93&lt;&gt;0), W93, "無預算"))</f>
        <v>無預算</v>
      </c>
    </row>
    <row r="94" spans="1:27" ht="13.8">
      <c r="A94" s="68"/>
      <c r="B94" s="69"/>
      <c r="C94" s="69"/>
      <c r="D94" s="70"/>
      <c r="E94" s="70"/>
      <c r="F94" s="70"/>
      <c r="G94" s="70"/>
      <c r="H94" s="71"/>
      <c r="R94" s="68" t="s">
        <v>116</v>
      </c>
      <c r="S94" s="70" t="s">
        <v>117</v>
      </c>
      <c r="T94" s="70" t="s">
        <v>126</v>
      </c>
      <c r="U94" s="70" t="str">
        <f t="shared" si="14"/>
        <v>CO董事長室</v>
      </c>
      <c r="V94" s="70" t="s">
        <v>303</v>
      </c>
      <c r="W94" s="70" t="s">
        <v>430</v>
      </c>
      <c r="X94" s="70" t="str">
        <f>V94</f>
        <v>其他費用</v>
      </c>
      <c r="Y94" s="80">
        <v>0</v>
      </c>
      <c r="Z94" s="70" t="str">
        <f t="shared" si="13"/>
        <v>CO董事長室其他費用</v>
      </c>
      <c r="AA94" s="253" t="str">
        <f t="shared" si="15"/>
        <v>無預算</v>
      </c>
    </row>
    <row r="95" spans="1:27" ht="13.8">
      <c r="A95" s="68"/>
      <c r="B95" s="69"/>
      <c r="C95" s="69"/>
      <c r="D95" s="111"/>
      <c r="E95" s="111"/>
      <c r="F95" s="110"/>
      <c r="G95" s="70"/>
      <c r="H95" s="71"/>
      <c r="R95" s="68" t="s">
        <v>133</v>
      </c>
      <c r="S95" s="70" t="s">
        <v>134</v>
      </c>
      <c r="T95" s="70" t="s">
        <v>126</v>
      </c>
      <c r="U95" s="70" t="str">
        <f t="shared" si="14"/>
        <v>GO總經理室</v>
      </c>
      <c r="V95" s="70" t="s">
        <v>127</v>
      </c>
      <c r="W95" s="70" t="s">
        <v>431</v>
      </c>
      <c r="X95" s="70" t="s">
        <v>129</v>
      </c>
      <c r="Y95" s="80">
        <v>-5082165</v>
      </c>
      <c r="Z95" s="70" t="str">
        <f t="shared" si="13"/>
        <v>GO總經理室人事費</v>
      </c>
      <c r="AA95" s="253" t="str">
        <f t="shared" si="15"/>
        <v>115GOSE01</v>
      </c>
    </row>
    <row r="96" spans="1:27" ht="13.8">
      <c r="A96" s="68"/>
      <c r="B96" s="69"/>
      <c r="C96" s="69"/>
      <c r="D96" s="70"/>
      <c r="E96" s="70"/>
      <c r="F96" s="70"/>
      <c r="G96" s="70"/>
      <c r="H96" s="71"/>
      <c r="R96" s="68" t="s">
        <v>133</v>
      </c>
      <c r="S96" s="70" t="s">
        <v>134</v>
      </c>
      <c r="T96" s="70" t="s">
        <v>126</v>
      </c>
      <c r="U96" s="70" t="str">
        <f t="shared" si="14"/>
        <v>GO總經理室</v>
      </c>
      <c r="V96" s="70" t="s">
        <v>50</v>
      </c>
      <c r="W96" s="70" t="s">
        <v>432</v>
      </c>
      <c r="X96" s="70" t="s">
        <v>50</v>
      </c>
      <c r="Y96" s="80">
        <v>0</v>
      </c>
      <c r="Z96" s="70" t="str">
        <f t="shared" si="13"/>
        <v>GO總經理室租金支出</v>
      </c>
      <c r="AA96" s="253" t="str">
        <f t="shared" si="15"/>
        <v>無預算</v>
      </c>
    </row>
    <row r="97" spans="1:27" ht="13.8">
      <c r="A97" s="68"/>
      <c r="B97" s="69"/>
      <c r="C97" s="69"/>
      <c r="D97" s="111"/>
      <c r="E97" s="111"/>
      <c r="F97" s="110"/>
      <c r="G97" s="70"/>
      <c r="H97" s="71"/>
      <c r="R97" s="68" t="s">
        <v>133</v>
      </c>
      <c r="S97" s="70" t="s">
        <v>134</v>
      </c>
      <c r="T97" s="70" t="s">
        <v>126</v>
      </c>
      <c r="U97" s="70" t="str">
        <f t="shared" si="14"/>
        <v>GO總經理室</v>
      </c>
      <c r="V97" s="70" t="s">
        <v>151</v>
      </c>
      <c r="W97" s="70" t="s">
        <v>433</v>
      </c>
      <c r="X97" s="70" t="s">
        <v>151</v>
      </c>
      <c r="Y97" s="80">
        <v>-120000</v>
      </c>
      <c r="Z97" s="70" t="str">
        <f t="shared" si="13"/>
        <v>GO總經理室旅費</v>
      </c>
      <c r="AA97" s="253" t="str">
        <f t="shared" si="15"/>
        <v>無預算</v>
      </c>
    </row>
    <row r="98" spans="1:27" ht="13.8">
      <c r="A98" s="68"/>
      <c r="B98" s="69"/>
      <c r="C98" s="69"/>
      <c r="D98" s="70"/>
      <c r="E98" s="70"/>
      <c r="F98" s="70"/>
      <c r="G98" s="70"/>
      <c r="H98" s="71"/>
      <c r="R98" s="68" t="s">
        <v>133</v>
      </c>
      <c r="S98" s="70" t="s">
        <v>134</v>
      </c>
      <c r="T98" s="70" t="s">
        <v>126</v>
      </c>
      <c r="U98" s="70" t="str">
        <f t="shared" si="14"/>
        <v>GO總經理室</v>
      </c>
      <c r="V98" s="70" t="s">
        <v>70</v>
      </c>
      <c r="W98" s="70" t="s">
        <v>434</v>
      </c>
      <c r="X98" s="70" t="s">
        <v>70</v>
      </c>
      <c r="Y98" s="80">
        <v>0</v>
      </c>
      <c r="Z98" s="70" t="str">
        <f t="shared" si="13"/>
        <v>GO總經理室運費</v>
      </c>
      <c r="AA98" s="253" t="str">
        <f t="shared" si="15"/>
        <v>無預算</v>
      </c>
    </row>
    <row r="99" spans="1:27" ht="13.8">
      <c r="A99" s="68"/>
      <c r="B99" s="69"/>
      <c r="C99" s="69"/>
      <c r="D99" s="69"/>
      <c r="E99" s="69"/>
      <c r="F99" s="69"/>
      <c r="G99" s="70"/>
      <c r="H99" s="71"/>
      <c r="R99" s="68" t="s">
        <v>133</v>
      </c>
      <c r="S99" s="70" t="s">
        <v>134</v>
      </c>
      <c r="T99" s="70" t="s">
        <v>126</v>
      </c>
      <c r="U99" s="70" t="str">
        <f t="shared" si="14"/>
        <v>GO總經理室</v>
      </c>
      <c r="V99" s="70" t="s">
        <v>62</v>
      </c>
      <c r="W99" s="70" t="s">
        <v>435</v>
      </c>
      <c r="X99" s="70" t="s">
        <v>62</v>
      </c>
      <c r="Y99" s="80">
        <v>0</v>
      </c>
      <c r="Z99" s="70" t="str">
        <f t="shared" si="13"/>
        <v>GO總經理室郵電費</v>
      </c>
      <c r="AA99" s="253" t="str">
        <f t="shared" si="15"/>
        <v>無預算</v>
      </c>
    </row>
    <row r="100" spans="1:27" ht="13.8">
      <c r="A100" s="68"/>
      <c r="B100" s="69"/>
      <c r="C100" s="69"/>
      <c r="D100" s="69"/>
      <c r="E100" s="69"/>
      <c r="F100" s="69"/>
      <c r="G100" s="70"/>
      <c r="H100" s="71"/>
      <c r="R100" s="68" t="s">
        <v>133</v>
      </c>
      <c r="S100" s="70" t="s">
        <v>134</v>
      </c>
      <c r="T100" s="70" t="s">
        <v>126</v>
      </c>
      <c r="U100" s="70" t="str">
        <f t="shared" si="14"/>
        <v>GO總經理室</v>
      </c>
      <c r="V100" s="70" t="s">
        <v>177</v>
      </c>
      <c r="W100" s="70" t="s">
        <v>436</v>
      </c>
      <c r="X100" s="70" t="s">
        <v>177</v>
      </c>
      <c r="Y100" s="80">
        <v>0</v>
      </c>
      <c r="Z100" s="70" t="str">
        <f t="shared" si="13"/>
        <v>GO總經理室修繕費</v>
      </c>
      <c r="AA100" s="253" t="str">
        <f t="shared" si="15"/>
        <v>無預算</v>
      </c>
    </row>
    <row r="101" spans="1:27" ht="13.8">
      <c r="A101" s="68"/>
      <c r="B101" s="69"/>
      <c r="C101" s="69"/>
      <c r="D101" s="69"/>
      <c r="E101" s="69"/>
      <c r="F101" s="69"/>
      <c r="G101" s="70"/>
      <c r="H101" s="71"/>
      <c r="R101" s="68" t="s">
        <v>133</v>
      </c>
      <c r="S101" s="70" t="s">
        <v>134</v>
      </c>
      <c r="T101" s="70" t="s">
        <v>126</v>
      </c>
      <c r="U101" s="70" t="str">
        <f t="shared" si="14"/>
        <v>GO總經理室</v>
      </c>
      <c r="V101" s="70" t="s">
        <v>54</v>
      </c>
      <c r="W101" s="70" t="s">
        <v>437</v>
      </c>
      <c r="X101" s="70" t="s">
        <v>54</v>
      </c>
      <c r="Y101" s="80">
        <v>0</v>
      </c>
      <c r="Z101" s="70" t="str">
        <f t="shared" si="13"/>
        <v>GO總經理室廣告費</v>
      </c>
      <c r="AA101" s="253" t="str">
        <f t="shared" si="15"/>
        <v>無預算</v>
      </c>
    </row>
    <row r="102" spans="1:27" ht="13.8">
      <c r="A102" s="68"/>
      <c r="B102" s="69"/>
      <c r="C102" s="69"/>
      <c r="D102" s="69"/>
      <c r="E102" s="69"/>
      <c r="F102" s="69"/>
      <c r="G102" s="70"/>
      <c r="H102" s="71"/>
      <c r="R102" s="68" t="s">
        <v>133</v>
      </c>
      <c r="S102" s="70" t="s">
        <v>134</v>
      </c>
      <c r="T102" s="70" t="s">
        <v>126</v>
      </c>
      <c r="U102" s="70" t="str">
        <f t="shared" si="14"/>
        <v>GO總經理室</v>
      </c>
      <c r="V102" s="70" t="s">
        <v>195</v>
      </c>
      <c r="W102" s="70" t="s">
        <v>438</v>
      </c>
      <c r="X102" s="70" t="s">
        <v>195</v>
      </c>
      <c r="Y102" s="80">
        <v>-322740</v>
      </c>
      <c r="Z102" s="70" t="str">
        <f t="shared" si="13"/>
        <v>GO總經理室保險費</v>
      </c>
      <c r="AA102" s="253" t="str">
        <f t="shared" si="15"/>
        <v>115GOSE08</v>
      </c>
    </row>
    <row r="103" spans="1:27" ht="13.8">
      <c r="A103" s="68"/>
      <c r="B103" s="69"/>
      <c r="C103" s="69"/>
      <c r="D103" s="69"/>
      <c r="E103" s="69"/>
      <c r="F103" s="69"/>
      <c r="G103" s="70"/>
      <c r="H103" s="71"/>
      <c r="J103" s="74"/>
      <c r="L103" s="74"/>
      <c r="R103" s="68" t="s">
        <v>133</v>
      </c>
      <c r="S103" s="70" t="s">
        <v>134</v>
      </c>
      <c r="T103" s="70" t="s">
        <v>126</v>
      </c>
      <c r="U103" s="70" t="str">
        <f t="shared" si="14"/>
        <v>GO總經理室</v>
      </c>
      <c r="V103" s="70" t="s">
        <v>74</v>
      </c>
      <c r="W103" s="70" t="s">
        <v>439</v>
      </c>
      <c r="X103" s="70" t="s">
        <v>74</v>
      </c>
      <c r="Y103" s="80">
        <v>-3600</v>
      </c>
      <c r="Z103" s="70" t="str">
        <f t="shared" si="13"/>
        <v>GO總經理室交際費</v>
      </c>
      <c r="AA103" s="253" t="str">
        <f t="shared" si="15"/>
        <v>115GOSE09</v>
      </c>
    </row>
    <row r="104" spans="1:27" ht="13.8">
      <c r="A104" s="68"/>
      <c r="B104" s="69"/>
      <c r="C104" s="69"/>
      <c r="D104" s="69"/>
      <c r="E104" s="69"/>
      <c r="F104" s="69"/>
      <c r="G104" s="70"/>
      <c r="H104" s="71"/>
      <c r="J104" s="74"/>
      <c r="K104" s="74"/>
      <c r="L104" s="74"/>
      <c r="M104" s="74"/>
      <c r="N104" s="74"/>
      <c r="O104" s="74"/>
      <c r="P104" s="74"/>
      <c r="Q104" s="74"/>
      <c r="R104" s="68" t="s">
        <v>133</v>
      </c>
      <c r="S104" s="70" t="s">
        <v>134</v>
      </c>
      <c r="T104" s="70" t="s">
        <v>126</v>
      </c>
      <c r="U104" s="70" t="str">
        <f t="shared" si="14"/>
        <v>GO總經理室</v>
      </c>
      <c r="V104" s="70" t="s">
        <v>217</v>
      </c>
      <c r="W104" s="70" t="s">
        <v>440</v>
      </c>
      <c r="X104" s="70" t="s">
        <v>217</v>
      </c>
      <c r="Y104" s="80">
        <v>-48246</v>
      </c>
      <c r="Z104" s="70" t="str">
        <f t="shared" si="13"/>
        <v>GO總經理室折舊及攤銷</v>
      </c>
      <c r="AA104" s="253" t="str">
        <f t="shared" si="15"/>
        <v>無預算</v>
      </c>
    </row>
    <row r="105" spans="1:27" ht="13.8">
      <c r="A105" s="68"/>
      <c r="B105" s="69"/>
      <c r="C105" s="69"/>
      <c r="D105" s="69"/>
      <c r="E105" s="69"/>
      <c r="F105" s="69"/>
      <c r="G105" s="70"/>
      <c r="H105" s="71"/>
      <c r="K105" s="74"/>
      <c r="M105" s="74"/>
      <c r="N105" s="74"/>
      <c r="O105" s="74"/>
      <c r="P105" s="74"/>
      <c r="Q105" s="74"/>
      <c r="R105" s="68" t="s">
        <v>133</v>
      </c>
      <c r="S105" s="70" t="s">
        <v>134</v>
      </c>
      <c r="T105" s="70" t="s">
        <v>126</v>
      </c>
      <c r="U105" s="70" t="str">
        <f t="shared" si="14"/>
        <v>GO總經理室</v>
      </c>
      <c r="V105" s="70" t="s">
        <v>78</v>
      </c>
      <c r="W105" s="70" t="s">
        <v>441</v>
      </c>
      <c r="X105" s="70" t="s">
        <v>78</v>
      </c>
      <c r="Y105" s="80">
        <v>-4500</v>
      </c>
      <c r="Z105" s="70" t="str">
        <f t="shared" si="13"/>
        <v>GO總經理室職工福利</v>
      </c>
      <c r="AA105" s="253" t="str">
        <f t="shared" si="15"/>
        <v>115GOSE11</v>
      </c>
    </row>
    <row r="106" spans="1:27" ht="13.8">
      <c r="A106" s="68"/>
      <c r="B106" s="69"/>
      <c r="C106" s="70"/>
      <c r="D106" s="70"/>
      <c r="E106" s="70"/>
      <c r="F106" s="69"/>
      <c r="G106" s="69"/>
      <c r="H106" s="71"/>
      <c r="R106" s="68" t="s">
        <v>133</v>
      </c>
      <c r="S106" s="70" t="s">
        <v>134</v>
      </c>
      <c r="T106" s="70" t="s">
        <v>126</v>
      </c>
      <c r="U106" s="70" t="str">
        <f t="shared" si="14"/>
        <v>GO總經理室</v>
      </c>
      <c r="V106" s="70" t="s">
        <v>47</v>
      </c>
      <c r="W106" s="70" t="s">
        <v>442</v>
      </c>
      <c r="X106" s="70" t="s">
        <v>47</v>
      </c>
      <c r="Y106" s="80">
        <v>-4000</v>
      </c>
      <c r="Z106" s="70" t="str">
        <f t="shared" si="13"/>
        <v>GO總經理室訓練費</v>
      </c>
      <c r="AA106" s="253" t="str">
        <f t="shared" si="15"/>
        <v>115GOSE12</v>
      </c>
    </row>
    <row r="107" spans="1:27" ht="13.8">
      <c r="A107" s="68"/>
      <c r="B107" s="69"/>
      <c r="C107" s="70"/>
      <c r="D107" s="70"/>
      <c r="E107" s="70"/>
      <c r="F107" s="69"/>
      <c r="G107" s="69"/>
      <c r="H107" s="71"/>
      <c r="R107" s="68" t="s">
        <v>133</v>
      </c>
      <c r="S107" s="70" t="s">
        <v>134</v>
      </c>
      <c r="T107" s="70" t="s">
        <v>126</v>
      </c>
      <c r="U107" s="70" t="str">
        <f t="shared" si="14"/>
        <v>GO總經理室</v>
      </c>
      <c r="V107" s="70" t="s">
        <v>238</v>
      </c>
      <c r="W107" s="70" t="s">
        <v>443</v>
      </c>
      <c r="X107" s="70" t="str">
        <f>V107</f>
        <v>開發費</v>
      </c>
      <c r="Y107" s="80">
        <v>0</v>
      </c>
      <c r="Z107" s="70" t="str">
        <f t="shared" si="13"/>
        <v>GO總經理室開發費</v>
      </c>
      <c r="AA107" s="253" t="str">
        <f t="shared" si="15"/>
        <v>無預算</v>
      </c>
    </row>
    <row r="108" spans="1:27" ht="13.8">
      <c r="A108" s="68"/>
      <c r="B108" s="69"/>
      <c r="C108" s="70"/>
      <c r="D108" s="70"/>
      <c r="E108" s="70"/>
      <c r="F108" s="69"/>
      <c r="G108" s="69"/>
      <c r="H108" s="71"/>
      <c r="R108" s="68" t="s">
        <v>133</v>
      </c>
      <c r="S108" s="70" t="s">
        <v>134</v>
      </c>
      <c r="T108" s="70" t="s">
        <v>126</v>
      </c>
      <c r="U108" s="70" t="str">
        <f t="shared" si="14"/>
        <v>GO總經理室</v>
      </c>
      <c r="V108" s="70" t="s">
        <v>56</v>
      </c>
      <c r="W108" s="70" t="s">
        <v>444</v>
      </c>
      <c r="X108" s="70" t="s">
        <v>56</v>
      </c>
      <c r="Y108" s="80">
        <v>-40800</v>
      </c>
      <c r="Z108" s="70" t="str">
        <f t="shared" si="13"/>
        <v>GO總經理室勞務費</v>
      </c>
      <c r="AA108" s="253" t="str">
        <f t="shared" si="15"/>
        <v>115GOSE14</v>
      </c>
    </row>
    <row r="109" spans="1:27" ht="13.8">
      <c r="A109" s="68"/>
      <c r="B109" s="69"/>
      <c r="C109" s="70"/>
      <c r="D109" s="70"/>
      <c r="E109" s="70"/>
      <c r="F109" s="69"/>
      <c r="G109" s="69"/>
      <c r="H109" s="71"/>
      <c r="R109" s="68" t="s">
        <v>133</v>
      </c>
      <c r="S109" s="70" t="s">
        <v>134</v>
      </c>
      <c r="T109" s="70" t="s">
        <v>126</v>
      </c>
      <c r="U109" s="70" t="str">
        <f t="shared" si="14"/>
        <v>GO總經理室</v>
      </c>
      <c r="V109" s="70" t="s">
        <v>255</v>
      </c>
      <c r="W109" s="70" t="s">
        <v>445</v>
      </c>
      <c r="X109" s="70" t="s">
        <v>255</v>
      </c>
      <c r="Y109" s="80">
        <v>-31000</v>
      </c>
      <c r="Z109" s="70" t="str">
        <f t="shared" si="13"/>
        <v>GO總經理室交通費</v>
      </c>
      <c r="AA109" s="253" t="str">
        <f t="shared" si="15"/>
        <v>115GOSE15</v>
      </c>
    </row>
    <row r="110" spans="1:27" ht="13.8">
      <c r="A110" s="68"/>
      <c r="B110" s="69"/>
      <c r="C110" s="70"/>
      <c r="D110" s="70"/>
      <c r="E110" s="70"/>
      <c r="F110" s="69"/>
      <c r="G110" s="69"/>
      <c r="H110" s="71"/>
      <c r="R110" s="68" t="s">
        <v>133</v>
      </c>
      <c r="S110" s="70" t="s">
        <v>134</v>
      </c>
      <c r="T110" s="70" t="s">
        <v>126</v>
      </c>
      <c r="U110" s="70" t="str">
        <f t="shared" si="14"/>
        <v>GO總經理室</v>
      </c>
      <c r="V110" s="70" t="s">
        <v>262</v>
      </c>
      <c r="W110" s="70" t="s">
        <v>446</v>
      </c>
      <c r="X110" s="70" t="s">
        <v>262</v>
      </c>
      <c r="Y110" s="80">
        <v>0</v>
      </c>
      <c r="Z110" s="70" t="str">
        <f t="shared" si="13"/>
        <v>GO總經理室設備</v>
      </c>
      <c r="AA110" s="253" t="str">
        <f t="shared" si="15"/>
        <v>無預算</v>
      </c>
    </row>
    <row r="111" spans="1:27" ht="13.8">
      <c r="A111" s="68"/>
      <c r="B111" s="69"/>
      <c r="C111" s="69"/>
      <c r="D111" s="111"/>
      <c r="E111" s="111"/>
      <c r="F111" s="110"/>
      <c r="G111" s="70"/>
      <c r="H111" s="71"/>
      <c r="R111" s="68" t="s">
        <v>133</v>
      </c>
      <c r="S111" s="70" t="s">
        <v>134</v>
      </c>
      <c r="T111" s="70" t="s">
        <v>126</v>
      </c>
      <c r="U111" s="70" t="str">
        <f t="shared" si="14"/>
        <v>GO總經理室</v>
      </c>
      <c r="V111" s="70" t="s">
        <v>270</v>
      </c>
      <c r="W111" s="70" t="s">
        <v>447</v>
      </c>
      <c r="X111" s="70" t="str">
        <f>V111</f>
        <v>雜項購置</v>
      </c>
      <c r="Y111" s="80">
        <v>0</v>
      </c>
      <c r="Z111" s="70" t="str">
        <f t="shared" si="13"/>
        <v>GO總經理室雜項購置</v>
      </c>
      <c r="AA111" s="253" t="str">
        <f t="shared" si="15"/>
        <v>無預算</v>
      </c>
    </row>
    <row r="112" spans="1:27" ht="13.8">
      <c r="A112" s="68"/>
      <c r="B112" s="69"/>
      <c r="C112" s="69"/>
      <c r="D112" s="70"/>
      <c r="E112" s="70"/>
      <c r="F112" s="69"/>
      <c r="G112" s="70"/>
      <c r="H112" s="71"/>
      <c r="R112" s="68" t="s">
        <v>133</v>
      </c>
      <c r="S112" s="70" t="s">
        <v>134</v>
      </c>
      <c r="T112" s="70" t="s">
        <v>126</v>
      </c>
      <c r="U112" s="70" t="str">
        <f t="shared" si="14"/>
        <v>GO總經理室</v>
      </c>
      <c r="V112" s="70" t="s">
        <v>276</v>
      </c>
      <c r="W112" s="70" t="s">
        <v>448</v>
      </c>
      <c r="X112" s="70" t="str">
        <f>V112</f>
        <v>退休金</v>
      </c>
      <c r="Y112" s="80">
        <v>-219600</v>
      </c>
      <c r="Z112" s="70" t="str">
        <f t="shared" si="13"/>
        <v>GO總經理室退休金</v>
      </c>
      <c r="AA112" s="253" t="str">
        <f t="shared" si="15"/>
        <v>115GOSE18</v>
      </c>
    </row>
    <row r="113" spans="1:27" ht="13.8">
      <c r="A113" s="68"/>
      <c r="B113" s="69"/>
      <c r="C113" s="69"/>
      <c r="D113" s="70"/>
      <c r="E113" s="70"/>
      <c r="F113" s="69"/>
      <c r="G113" s="70"/>
      <c r="H113" s="71"/>
      <c r="R113" s="68" t="s">
        <v>133</v>
      </c>
      <c r="S113" s="70" t="s">
        <v>134</v>
      </c>
      <c r="T113" s="70" t="s">
        <v>126</v>
      </c>
      <c r="U113" s="70" t="str">
        <f t="shared" si="14"/>
        <v>GO總經理室</v>
      </c>
      <c r="V113" s="70" t="s">
        <v>283</v>
      </c>
      <c r="W113" s="70" t="s">
        <v>449</v>
      </c>
      <c r="X113" s="70" t="str">
        <f t="shared" ref="X113:X115" si="20">V113</f>
        <v>文具用品</v>
      </c>
      <c r="Y113" s="80">
        <v>0</v>
      </c>
      <c r="Z113" s="70" t="str">
        <f t="shared" si="13"/>
        <v>GO總經理室文具用品</v>
      </c>
      <c r="AA113" s="253" t="str">
        <f t="shared" si="15"/>
        <v>無預算</v>
      </c>
    </row>
    <row r="114" spans="1:27" ht="13.8">
      <c r="A114" s="68"/>
      <c r="B114" s="69"/>
      <c r="C114" s="69"/>
      <c r="D114" s="111"/>
      <c r="E114" s="111"/>
      <c r="F114" s="110"/>
      <c r="G114" s="70"/>
      <c r="H114" s="71"/>
      <c r="R114" s="68" t="s">
        <v>133</v>
      </c>
      <c r="S114" s="70" t="s">
        <v>134</v>
      </c>
      <c r="T114" s="70" t="s">
        <v>126</v>
      </c>
      <c r="U114" s="70" t="str">
        <f t="shared" si="14"/>
        <v>GO總經理室</v>
      </c>
      <c r="V114" s="70" t="s">
        <v>288</v>
      </c>
      <c r="W114" s="70" t="s">
        <v>450</v>
      </c>
      <c r="X114" s="70" t="str">
        <f t="shared" si="20"/>
        <v>水電費</v>
      </c>
      <c r="Y114" s="80">
        <v>0</v>
      </c>
      <c r="Z114" s="70" t="str">
        <f t="shared" si="13"/>
        <v>GO總經理室水電費</v>
      </c>
      <c r="AA114" s="253" t="str">
        <f t="shared" si="15"/>
        <v>無預算</v>
      </c>
    </row>
    <row r="115" spans="1:27" ht="13.8">
      <c r="A115" s="68"/>
      <c r="B115" s="69"/>
      <c r="C115" s="69"/>
      <c r="D115" s="111"/>
      <c r="E115" s="111"/>
      <c r="F115" s="110"/>
      <c r="G115" s="70"/>
      <c r="H115" s="71"/>
      <c r="R115" s="68" t="s">
        <v>133</v>
      </c>
      <c r="S115" s="70" t="s">
        <v>134</v>
      </c>
      <c r="T115" s="70" t="s">
        <v>126</v>
      </c>
      <c r="U115" s="70" t="str">
        <f t="shared" si="14"/>
        <v>GO總經理室</v>
      </c>
      <c r="V115" s="70" t="s">
        <v>293</v>
      </c>
      <c r="W115" s="70" t="s">
        <v>451</v>
      </c>
      <c r="X115" s="70" t="str">
        <f t="shared" si="20"/>
        <v>捐贈</v>
      </c>
      <c r="Y115" s="80">
        <v>0</v>
      </c>
      <c r="Z115" s="70" t="str">
        <f t="shared" si="13"/>
        <v>GO總經理室捐贈</v>
      </c>
      <c r="AA115" s="253" t="str">
        <f t="shared" si="15"/>
        <v>無預算</v>
      </c>
    </row>
    <row r="116" spans="1:27" ht="13.8">
      <c r="A116" s="68"/>
      <c r="B116" s="69"/>
      <c r="C116" s="69"/>
      <c r="D116" s="70"/>
      <c r="E116" s="70"/>
      <c r="F116" s="70"/>
      <c r="G116" s="70"/>
      <c r="H116" s="71"/>
      <c r="R116" s="68" t="s">
        <v>133</v>
      </c>
      <c r="S116" s="70" t="s">
        <v>134</v>
      </c>
      <c r="T116" s="70" t="s">
        <v>126</v>
      </c>
      <c r="U116" s="70" t="str">
        <f t="shared" si="14"/>
        <v>GO總經理室</v>
      </c>
      <c r="V116" s="70" t="s">
        <v>298</v>
      </c>
      <c r="W116" s="70" t="s">
        <v>452</v>
      </c>
      <c r="X116" s="70" t="str">
        <f>V116</f>
        <v>銀行手續費</v>
      </c>
      <c r="Y116" s="80">
        <v>0</v>
      </c>
      <c r="Z116" s="70" t="str">
        <f t="shared" si="13"/>
        <v>GO總經理室銀行手續費</v>
      </c>
      <c r="AA116" s="253" t="str">
        <f t="shared" si="15"/>
        <v>無預算</v>
      </c>
    </row>
    <row r="117" spans="1:27" ht="13.8">
      <c r="A117" s="68"/>
      <c r="B117" s="69"/>
      <c r="C117" s="69"/>
      <c r="D117" s="111"/>
      <c r="E117" s="111"/>
      <c r="F117" s="110"/>
      <c r="G117" s="70"/>
      <c r="H117" s="71"/>
      <c r="R117" s="68" t="s">
        <v>133</v>
      </c>
      <c r="S117" s="70" t="s">
        <v>134</v>
      </c>
      <c r="T117" s="70" t="s">
        <v>126</v>
      </c>
      <c r="U117" s="70" t="str">
        <f t="shared" si="14"/>
        <v>GO總經理室</v>
      </c>
      <c r="V117" s="70" t="s">
        <v>303</v>
      </c>
      <c r="W117" s="70" t="s">
        <v>453</v>
      </c>
      <c r="X117" s="70" t="str">
        <f>V117</f>
        <v>其他費用</v>
      </c>
      <c r="Y117" s="80">
        <v>-21300</v>
      </c>
      <c r="Z117" s="70" t="str">
        <f t="shared" si="13"/>
        <v>GO總經理室其他費用</v>
      </c>
      <c r="AA117" s="253" t="str">
        <f t="shared" si="15"/>
        <v>115GOSE99</v>
      </c>
    </row>
    <row r="118" spans="1:27" ht="13.8">
      <c r="A118" s="68"/>
      <c r="B118" s="69"/>
      <c r="C118" s="69"/>
      <c r="D118" s="70"/>
      <c r="E118" s="70"/>
      <c r="F118" s="70"/>
      <c r="G118" s="70"/>
      <c r="H118" s="71"/>
      <c r="R118" s="68" t="s">
        <v>179</v>
      </c>
      <c r="S118" s="70" t="s">
        <v>180</v>
      </c>
      <c r="T118" s="70" t="s">
        <v>126</v>
      </c>
      <c r="U118" s="70" t="str">
        <f t="shared" si="14"/>
        <v>D&amp;C資料與雲端平台部</v>
      </c>
      <c r="V118" s="70" t="s">
        <v>127</v>
      </c>
      <c r="W118" s="70" t="s">
        <v>454</v>
      </c>
      <c r="X118" s="70" t="s">
        <v>129</v>
      </c>
      <c r="Y118" s="80">
        <f>-7058000+632000</f>
        <v>-6426000</v>
      </c>
      <c r="Z118" s="70" t="str">
        <f t="shared" si="13"/>
        <v>D&amp;C資料與雲端平台部人事費</v>
      </c>
      <c r="AA118" s="253" t="str">
        <f t="shared" si="15"/>
        <v>115D&amp;CSE01</v>
      </c>
    </row>
    <row r="119" spans="1:27" ht="13.8">
      <c r="A119" s="68"/>
      <c r="B119" s="69"/>
      <c r="C119" s="69"/>
      <c r="D119" s="111"/>
      <c r="E119" s="111"/>
      <c r="F119" s="110"/>
      <c r="G119" s="70"/>
      <c r="H119" s="71"/>
      <c r="R119" s="68" t="s">
        <v>179</v>
      </c>
      <c r="S119" s="70" t="s">
        <v>180</v>
      </c>
      <c r="T119" s="70" t="s">
        <v>126</v>
      </c>
      <c r="U119" s="70" t="str">
        <f t="shared" si="14"/>
        <v>D&amp;C資料與雲端平台部</v>
      </c>
      <c r="V119" s="70" t="s">
        <v>50</v>
      </c>
      <c r="W119" s="70" t="s">
        <v>455</v>
      </c>
      <c r="X119" s="70" t="s">
        <v>50</v>
      </c>
      <c r="Y119" s="80">
        <v>-475000</v>
      </c>
      <c r="Z119" s="70" t="str">
        <f t="shared" si="13"/>
        <v>D&amp;C資料與雲端平台部租金支出</v>
      </c>
      <c r="AA119" s="253" t="str">
        <f t="shared" si="15"/>
        <v>115D&amp;CSE02</v>
      </c>
    </row>
    <row r="120" spans="1:27" ht="13.8">
      <c r="A120" s="68"/>
      <c r="B120" s="69"/>
      <c r="C120" s="69"/>
      <c r="D120" s="70"/>
      <c r="E120" s="70"/>
      <c r="F120" s="70"/>
      <c r="G120" s="70"/>
      <c r="H120" s="71"/>
      <c r="R120" s="68" t="s">
        <v>179</v>
      </c>
      <c r="S120" s="70" t="s">
        <v>180</v>
      </c>
      <c r="T120" s="70" t="s">
        <v>126</v>
      </c>
      <c r="U120" s="70" t="str">
        <f t="shared" si="14"/>
        <v>D&amp;C資料與雲端平台部</v>
      </c>
      <c r="V120" s="70" t="s">
        <v>151</v>
      </c>
      <c r="W120" s="70" t="s">
        <v>456</v>
      </c>
      <c r="X120" s="70" t="s">
        <v>151</v>
      </c>
      <c r="Y120" s="80">
        <v>-50000</v>
      </c>
      <c r="Z120" s="70" t="str">
        <f t="shared" si="13"/>
        <v>D&amp;C資料與雲端平台部旅費</v>
      </c>
      <c r="AA120" s="253" t="str">
        <f t="shared" si="15"/>
        <v>無預算</v>
      </c>
    </row>
    <row r="121" spans="1:27" ht="13.8">
      <c r="A121" s="68"/>
      <c r="B121" s="69"/>
      <c r="C121" s="69"/>
      <c r="D121" s="69"/>
      <c r="E121" s="69"/>
      <c r="F121" s="69"/>
      <c r="G121" s="70"/>
      <c r="H121" s="71"/>
      <c r="R121" s="68" t="s">
        <v>179</v>
      </c>
      <c r="S121" s="70" t="s">
        <v>180</v>
      </c>
      <c r="T121" s="70" t="s">
        <v>126</v>
      </c>
      <c r="U121" s="70" t="str">
        <f t="shared" si="14"/>
        <v>D&amp;C資料與雲端平台部</v>
      </c>
      <c r="V121" s="70" t="s">
        <v>70</v>
      </c>
      <c r="W121" s="70" t="s">
        <v>457</v>
      </c>
      <c r="X121" s="70" t="s">
        <v>70</v>
      </c>
      <c r="Y121" s="80">
        <v>0</v>
      </c>
      <c r="Z121" s="70" t="str">
        <f t="shared" si="13"/>
        <v>D&amp;C資料與雲端平台部運費</v>
      </c>
      <c r="AA121" s="253" t="str">
        <f t="shared" si="15"/>
        <v>無預算</v>
      </c>
    </row>
    <row r="122" spans="1:27" ht="13.8">
      <c r="A122" s="68"/>
      <c r="B122" s="69"/>
      <c r="C122" s="69"/>
      <c r="D122" s="69"/>
      <c r="E122" s="69"/>
      <c r="F122" s="69"/>
      <c r="G122" s="70"/>
      <c r="H122" s="71"/>
      <c r="R122" s="68" t="s">
        <v>179</v>
      </c>
      <c r="S122" s="70" t="s">
        <v>180</v>
      </c>
      <c r="T122" s="70" t="s">
        <v>126</v>
      </c>
      <c r="U122" s="70" t="str">
        <f t="shared" si="14"/>
        <v>D&amp;C資料與雲端平台部</v>
      </c>
      <c r="V122" s="70" t="s">
        <v>62</v>
      </c>
      <c r="W122" s="70" t="s">
        <v>458</v>
      </c>
      <c r="X122" s="70" t="s">
        <v>62</v>
      </c>
      <c r="Y122" s="80">
        <v>-6000</v>
      </c>
      <c r="Z122" s="70" t="str">
        <f t="shared" si="13"/>
        <v>D&amp;C資料與雲端平台部郵電費</v>
      </c>
      <c r="AA122" s="253" t="str">
        <f t="shared" si="15"/>
        <v>115D&amp;CSE05</v>
      </c>
    </row>
    <row r="123" spans="1:27" ht="13.8">
      <c r="A123" s="68"/>
      <c r="B123" s="69"/>
      <c r="C123" s="69"/>
      <c r="D123" s="69"/>
      <c r="E123" s="69"/>
      <c r="F123" s="69"/>
      <c r="G123" s="70"/>
      <c r="H123" s="71"/>
      <c r="R123" s="68" t="s">
        <v>179</v>
      </c>
      <c r="S123" s="70" t="s">
        <v>180</v>
      </c>
      <c r="T123" s="70" t="s">
        <v>126</v>
      </c>
      <c r="U123" s="70" t="str">
        <f t="shared" si="14"/>
        <v>D&amp;C資料與雲端平台部</v>
      </c>
      <c r="V123" s="70" t="s">
        <v>177</v>
      </c>
      <c r="W123" s="70" t="s">
        <v>459</v>
      </c>
      <c r="X123" s="70" t="s">
        <v>177</v>
      </c>
      <c r="Y123" s="80">
        <v>0</v>
      </c>
      <c r="Z123" s="70" t="str">
        <f t="shared" si="13"/>
        <v>D&amp;C資料與雲端平台部修繕費</v>
      </c>
      <c r="AA123" s="253" t="str">
        <f t="shared" si="15"/>
        <v>無預算</v>
      </c>
    </row>
    <row r="124" spans="1:27" ht="13.8">
      <c r="A124" s="68"/>
      <c r="B124" s="69"/>
      <c r="C124" s="69"/>
      <c r="D124" s="69"/>
      <c r="E124" s="69"/>
      <c r="F124" s="69"/>
      <c r="G124" s="70"/>
      <c r="H124" s="71"/>
      <c r="R124" s="68" t="s">
        <v>179</v>
      </c>
      <c r="S124" s="70" t="s">
        <v>180</v>
      </c>
      <c r="T124" s="70" t="s">
        <v>126</v>
      </c>
      <c r="U124" s="70" t="str">
        <f t="shared" si="14"/>
        <v>D&amp;C資料與雲端平台部</v>
      </c>
      <c r="V124" s="70" t="s">
        <v>54</v>
      </c>
      <c r="W124" s="70" t="s">
        <v>460</v>
      </c>
      <c r="X124" s="70" t="s">
        <v>54</v>
      </c>
      <c r="Y124" s="80">
        <v>0</v>
      </c>
      <c r="Z124" s="70" t="str">
        <f t="shared" si="13"/>
        <v>D&amp;C資料與雲端平台部廣告費</v>
      </c>
      <c r="AA124" s="253" t="str">
        <f t="shared" si="15"/>
        <v>無預算</v>
      </c>
    </row>
    <row r="125" spans="1:27" ht="13.8">
      <c r="A125" s="68"/>
      <c r="B125" s="69"/>
      <c r="C125" s="69"/>
      <c r="D125" s="69"/>
      <c r="E125" s="69"/>
      <c r="F125" s="69"/>
      <c r="G125" s="70"/>
      <c r="H125" s="71"/>
      <c r="J125" s="74"/>
      <c r="L125" s="74"/>
      <c r="R125" s="68" t="s">
        <v>179</v>
      </c>
      <c r="S125" s="70" t="s">
        <v>180</v>
      </c>
      <c r="T125" s="70" t="s">
        <v>126</v>
      </c>
      <c r="U125" s="70" t="str">
        <f t="shared" si="14"/>
        <v>D&amp;C資料與雲端平台部</v>
      </c>
      <c r="V125" s="70" t="s">
        <v>195</v>
      </c>
      <c r="W125" s="70" t="s">
        <v>461</v>
      </c>
      <c r="X125" s="70" t="s">
        <v>195</v>
      </c>
      <c r="Y125" s="80">
        <f>-245250+13880</f>
        <v>-231370</v>
      </c>
      <c r="Z125" s="70" t="str">
        <f t="shared" si="13"/>
        <v>D&amp;C資料與雲端平台部保險費</v>
      </c>
      <c r="AA125" s="253" t="str">
        <f t="shared" si="15"/>
        <v>115D&amp;CSE08</v>
      </c>
    </row>
    <row r="126" spans="1:27" ht="13.8">
      <c r="A126" s="68"/>
      <c r="B126" s="69"/>
      <c r="C126" s="69"/>
      <c r="D126" s="69"/>
      <c r="E126" s="69"/>
      <c r="F126" s="69"/>
      <c r="G126" s="70"/>
      <c r="H126" s="71"/>
      <c r="J126" s="74"/>
      <c r="K126" s="74"/>
      <c r="L126" s="74"/>
      <c r="M126" s="74"/>
      <c r="N126" s="74"/>
      <c r="O126" s="74"/>
      <c r="P126" s="74"/>
      <c r="Q126" s="74"/>
      <c r="R126" s="68" t="s">
        <v>179</v>
      </c>
      <c r="S126" s="70" t="s">
        <v>180</v>
      </c>
      <c r="T126" s="70" t="s">
        <v>126</v>
      </c>
      <c r="U126" s="70" t="str">
        <f t="shared" si="14"/>
        <v>D&amp;C資料與雲端平台部</v>
      </c>
      <c r="V126" s="70" t="s">
        <v>74</v>
      </c>
      <c r="W126" s="70" t="s">
        <v>462</v>
      </c>
      <c r="X126" s="70" t="s">
        <v>74</v>
      </c>
      <c r="Y126" s="80">
        <v>-6000</v>
      </c>
      <c r="Z126" s="70" t="str">
        <f t="shared" si="13"/>
        <v>D&amp;C資料與雲端平台部交際費</v>
      </c>
      <c r="AA126" s="253" t="str">
        <f t="shared" si="15"/>
        <v>115D&amp;CSE09</v>
      </c>
    </row>
    <row r="127" spans="1:27" ht="13.8">
      <c r="A127" s="68"/>
      <c r="B127" s="69"/>
      <c r="C127" s="69"/>
      <c r="D127" s="69"/>
      <c r="E127" s="69"/>
      <c r="F127" s="69"/>
      <c r="G127" s="70"/>
      <c r="H127" s="71"/>
      <c r="K127" s="74"/>
      <c r="M127" s="74"/>
      <c r="N127" s="74"/>
      <c r="O127" s="74"/>
      <c r="P127" s="74"/>
      <c r="Q127" s="74"/>
      <c r="R127" s="68" t="s">
        <v>179</v>
      </c>
      <c r="S127" s="70" t="s">
        <v>180</v>
      </c>
      <c r="T127" s="70" t="s">
        <v>126</v>
      </c>
      <c r="U127" s="70" t="str">
        <f t="shared" si="14"/>
        <v>D&amp;C資料與雲端平台部</v>
      </c>
      <c r="V127" s="70" t="s">
        <v>217</v>
      </c>
      <c r="W127" s="70" t="s">
        <v>463</v>
      </c>
      <c r="X127" s="70" t="s">
        <v>217</v>
      </c>
      <c r="Y127" s="80">
        <v>-11640</v>
      </c>
      <c r="Z127" s="70" t="str">
        <f t="shared" si="13"/>
        <v>D&amp;C資料與雲端平台部折舊及攤銷</v>
      </c>
      <c r="AA127" s="253" t="str">
        <f t="shared" si="15"/>
        <v>無預算</v>
      </c>
    </row>
    <row r="128" spans="1:27" ht="13.8">
      <c r="A128" s="68"/>
      <c r="B128" s="69"/>
      <c r="C128" s="70"/>
      <c r="D128" s="70"/>
      <c r="E128" s="70"/>
      <c r="F128" s="69"/>
      <c r="G128" s="69"/>
      <c r="H128" s="71"/>
      <c r="R128" s="68" t="s">
        <v>179</v>
      </c>
      <c r="S128" s="70" t="s">
        <v>180</v>
      </c>
      <c r="T128" s="70" t="s">
        <v>126</v>
      </c>
      <c r="U128" s="70" t="str">
        <f t="shared" si="14"/>
        <v>D&amp;C資料與雲端平台部</v>
      </c>
      <c r="V128" s="70" t="s">
        <v>78</v>
      </c>
      <c r="W128" s="70" t="s">
        <v>464</v>
      </c>
      <c r="X128" s="70" t="s">
        <v>78</v>
      </c>
      <c r="Y128" s="80">
        <f>-12500+1000</f>
        <v>-11500</v>
      </c>
      <c r="Z128" s="70" t="str">
        <f t="shared" si="13"/>
        <v>D&amp;C資料與雲端平台部職工福利</v>
      </c>
      <c r="AA128" s="253" t="str">
        <f t="shared" si="15"/>
        <v>115D&amp;CSE11</v>
      </c>
    </row>
    <row r="129" spans="1:27" ht="13.8">
      <c r="A129" s="68"/>
      <c r="B129" s="69"/>
      <c r="C129" s="70"/>
      <c r="D129" s="70"/>
      <c r="E129" s="70"/>
      <c r="F129" s="69"/>
      <c r="G129" s="69"/>
      <c r="H129" s="71"/>
      <c r="R129" s="68" t="s">
        <v>179</v>
      </c>
      <c r="S129" s="70" t="s">
        <v>180</v>
      </c>
      <c r="T129" s="70" t="s">
        <v>126</v>
      </c>
      <c r="U129" s="70" t="str">
        <f t="shared" si="14"/>
        <v>D&amp;C資料與雲端平台部</v>
      </c>
      <c r="V129" s="70" t="s">
        <v>47</v>
      </c>
      <c r="W129" s="70" t="s">
        <v>465</v>
      </c>
      <c r="X129" s="70" t="s">
        <v>47</v>
      </c>
      <c r="Y129" s="80">
        <v>0</v>
      </c>
      <c r="Z129" s="70" t="str">
        <f t="shared" si="13"/>
        <v>D&amp;C資料與雲端平台部訓練費</v>
      </c>
      <c r="AA129" s="253" t="str">
        <f t="shared" si="15"/>
        <v>無預算</v>
      </c>
    </row>
    <row r="130" spans="1:27" ht="13.8">
      <c r="A130" s="68"/>
      <c r="B130" s="69"/>
      <c r="C130" s="70"/>
      <c r="D130" s="70"/>
      <c r="E130" s="70"/>
      <c r="F130" s="69"/>
      <c r="G130" s="69"/>
      <c r="H130" s="71"/>
      <c r="R130" s="68" t="s">
        <v>179</v>
      </c>
      <c r="S130" s="70" t="s">
        <v>180</v>
      </c>
      <c r="T130" s="70" t="s">
        <v>126</v>
      </c>
      <c r="U130" s="70" t="str">
        <f t="shared" si="14"/>
        <v>D&amp;C資料與雲端平台部</v>
      </c>
      <c r="V130" s="70" t="s">
        <v>238</v>
      </c>
      <c r="W130" s="70" t="s">
        <v>466</v>
      </c>
      <c r="X130" s="70" t="str">
        <f>V130</f>
        <v>開發費</v>
      </c>
      <c r="Y130" s="80">
        <v>0</v>
      </c>
      <c r="Z130" s="70" t="str">
        <f t="shared" si="13"/>
        <v>D&amp;C資料與雲端平台部開發費</v>
      </c>
      <c r="AA130" s="253" t="str">
        <f t="shared" si="15"/>
        <v>無預算</v>
      </c>
    </row>
    <row r="131" spans="1:27" ht="13.8">
      <c r="A131" s="68"/>
      <c r="B131" s="69"/>
      <c r="C131" s="70"/>
      <c r="D131" s="70"/>
      <c r="E131" s="70"/>
      <c r="F131" s="69"/>
      <c r="G131" s="69"/>
      <c r="H131" s="71"/>
      <c r="R131" s="68" t="s">
        <v>179</v>
      </c>
      <c r="S131" s="70" t="s">
        <v>180</v>
      </c>
      <c r="T131" s="70" t="s">
        <v>126</v>
      </c>
      <c r="U131" s="70" t="str">
        <f t="shared" si="14"/>
        <v>D&amp;C資料與雲端平台部</v>
      </c>
      <c r="V131" s="70" t="s">
        <v>56</v>
      </c>
      <c r="W131" s="70" t="s">
        <v>467</v>
      </c>
      <c r="X131" s="70" t="s">
        <v>56</v>
      </c>
      <c r="Y131" s="80">
        <f>0-240000</f>
        <v>-240000</v>
      </c>
      <c r="Z131" s="70" t="str">
        <f t="shared" si="13"/>
        <v>D&amp;C資料與雲端平台部勞務費</v>
      </c>
      <c r="AA131" s="253" t="str">
        <f t="shared" si="15"/>
        <v>115D&amp;CSE14</v>
      </c>
    </row>
    <row r="132" spans="1:27" ht="13.8">
      <c r="A132" s="68"/>
      <c r="B132" s="69"/>
      <c r="C132" s="70"/>
      <c r="D132" s="70"/>
      <c r="E132" s="70"/>
      <c r="F132" s="69"/>
      <c r="G132" s="69"/>
      <c r="H132" s="71"/>
      <c r="R132" s="68" t="s">
        <v>179</v>
      </c>
      <c r="S132" s="70" t="s">
        <v>180</v>
      </c>
      <c r="T132" s="70" t="s">
        <v>126</v>
      </c>
      <c r="U132" s="70" t="str">
        <f t="shared" si="14"/>
        <v>D&amp;C資料與雲端平台部</v>
      </c>
      <c r="V132" s="70" t="s">
        <v>255</v>
      </c>
      <c r="W132" s="70" t="s">
        <v>468</v>
      </c>
      <c r="X132" s="70" t="s">
        <v>255</v>
      </c>
      <c r="Y132" s="80">
        <v>0</v>
      </c>
      <c r="Z132" s="70" t="str">
        <f t="shared" si="13"/>
        <v>D&amp;C資料與雲端平台部交通費</v>
      </c>
      <c r="AA132" s="253" t="str">
        <f t="shared" si="15"/>
        <v>無預算</v>
      </c>
    </row>
    <row r="133" spans="1:27" ht="13.8">
      <c r="A133" s="68"/>
      <c r="B133" s="69"/>
      <c r="C133" s="69"/>
      <c r="D133" s="111"/>
      <c r="E133" s="111"/>
      <c r="F133" s="110"/>
      <c r="G133" s="70"/>
      <c r="H133" s="71"/>
      <c r="R133" s="68" t="s">
        <v>179</v>
      </c>
      <c r="S133" s="70" t="s">
        <v>180</v>
      </c>
      <c r="T133" s="70" t="s">
        <v>126</v>
      </c>
      <c r="U133" s="70" t="str">
        <f t="shared" si="14"/>
        <v>D&amp;C資料與雲端平台部</v>
      </c>
      <c r="V133" s="70" t="s">
        <v>262</v>
      </c>
      <c r="W133" s="70" t="s">
        <v>469</v>
      </c>
      <c r="X133" s="70" t="s">
        <v>262</v>
      </c>
      <c r="Y133" s="80">
        <v>-500000</v>
      </c>
      <c r="Z133" s="70" t="str">
        <f t="shared" si="13"/>
        <v>D&amp;C資料與雲端平台部設備</v>
      </c>
      <c r="AA133" s="253" t="str">
        <f t="shared" si="15"/>
        <v>115D&amp;CSE16</v>
      </c>
    </row>
    <row r="134" spans="1:27" ht="13.8">
      <c r="A134" s="68"/>
      <c r="B134" s="69"/>
      <c r="C134" s="69"/>
      <c r="D134" s="70"/>
      <c r="E134" s="70"/>
      <c r="F134" s="69"/>
      <c r="G134" s="70"/>
      <c r="H134" s="71"/>
      <c r="R134" s="68" t="s">
        <v>179</v>
      </c>
      <c r="S134" s="70" t="s">
        <v>180</v>
      </c>
      <c r="T134" s="70" t="s">
        <v>126</v>
      </c>
      <c r="U134" s="70" t="str">
        <f t="shared" si="14"/>
        <v>D&amp;C資料與雲端平台部</v>
      </c>
      <c r="V134" s="70" t="s">
        <v>270</v>
      </c>
      <c r="W134" s="70" t="s">
        <v>470</v>
      </c>
      <c r="X134" s="70" t="str">
        <f>V134</f>
        <v>雜項購置</v>
      </c>
      <c r="Y134" s="80">
        <v>-20000</v>
      </c>
      <c r="Z134" s="70" t="str">
        <f t="shared" ref="Z134:Z186" si="21">U134&amp;V134</f>
        <v>D&amp;C資料與雲端平台部雜項購置</v>
      </c>
      <c r="AA134" s="253" t="str">
        <f t="shared" si="15"/>
        <v>115D&amp;CSE17</v>
      </c>
    </row>
    <row r="135" spans="1:27" ht="13.8">
      <c r="A135" s="68"/>
      <c r="B135" s="69"/>
      <c r="C135" s="69"/>
      <c r="D135" s="70"/>
      <c r="E135" s="70"/>
      <c r="F135" s="69"/>
      <c r="G135" s="70"/>
      <c r="H135" s="71"/>
      <c r="R135" s="68" t="s">
        <v>179</v>
      </c>
      <c r="S135" s="70" t="s">
        <v>180</v>
      </c>
      <c r="T135" s="70" t="s">
        <v>126</v>
      </c>
      <c r="U135" s="70" t="str">
        <f t="shared" ref="U135:U186" si="22">S135&amp;R135</f>
        <v>D&amp;C資料與雲端平台部</v>
      </c>
      <c r="V135" s="70" t="s">
        <v>276</v>
      </c>
      <c r="W135" s="70" t="s">
        <v>471</v>
      </c>
      <c r="X135" s="70" t="str">
        <f>V135</f>
        <v>退休金</v>
      </c>
      <c r="Y135" s="80">
        <f>-300556+27010</f>
        <v>-273546</v>
      </c>
      <c r="Z135" s="70" t="str">
        <f t="shared" si="21"/>
        <v>D&amp;C資料與雲端平台部退休金</v>
      </c>
      <c r="AA135" s="253" t="str">
        <f t="shared" ref="AA135:AA186" si="23">IF(OR(X135="旅費", X135="折舊及攤銷"), "無預算", IF(AND(ISNUMBER(Y135), Y135&lt;&gt;0), W135, "無預算"))</f>
        <v>115D&amp;CSE18</v>
      </c>
    </row>
    <row r="136" spans="1:27" ht="13.8">
      <c r="A136" s="68"/>
      <c r="B136" s="69"/>
      <c r="C136" s="69"/>
      <c r="D136" s="111"/>
      <c r="E136" s="111"/>
      <c r="F136" s="110"/>
      <c r="G136" s="70"/>
      <c r="H136" s="71"/>
      <c r="R136" s="68" t="s">
        <v>179</v>
      </c>
      <c r="S136" s="70" t="s">
        <v>180</v>
      </c>
      <c r="T136" s="70" t="s">
        <v>126</v>
      </c>
      <c r="U136" s="70" t="str">
        <f t="shared" si="22"/>
        <v>D&amp;C資料與雲端平台部</v>
      </c>
      <c r="V136" s="70" t="s">
        <v>283</v>
      </c>
      <c r="W136" s="70" t="s">
        <v>472</v>
      </c>
      <c r="X136" s="70" t="str">
        <f t="shared" ref="X136:X138" si="24">V136</f>
        <v>文具用品</v>
      </c>
      <c r="Y136" s="80">
        <v>0</v>
      </c>
      <c r="Z136" s="70" t="str">
        <f t="shared" si="21"/>
        <v>D&amp;C資料與雲端平台部文具用品</v>
      </c>
      <c r="AA136" s="253" t="str">
        <f t="shared" si="23"/>
        <v>無預算</v>
      </c>
    </row>
    <row r="137" spans="1:27" ht="13.8">
      <c r="A137" s="68"/>
      <c r="B137" s="69"/>
      <c r="C137" s="69"/>
      <c r="D137" s="111"/>
      <c r="E137" s="111"/>
      <c r="F137" s="110"/>
      <c r="G137" s="70"/>
      <c r="H137" s="71"/>
      <c r="R137" s="68" t="s">
        <v>179</v>
      </c>
      <c r="S137" s="70" t="s">
        <v>180</v>
      </c>
      <c r="T137" s="70" t="s">
        <v>126</v>
      </c>
      <c r="U137" s="70" t="str">
        <f t="shared" si="22"/>
        <v>D&amp;C資料與雲端平台部</v>
      </c>
      <c r="V137" s="70" t="s">
        <v>288</v>
      </c>
      <c r="W137" s="70" t="s">
        <v>473</v>
      </c>
      <c r="X137" s="70" t="str">
        <f t="shared" si="24"/>
        <v>水電費</v>
      </c>
      <c r="Y137" s="80">
        <v>0</v>
      </c>
      <c r="Z137" s="70" t="str">
        <f t="shared" si="21"/>
        <v>D&amp;C資料與雲端平台部水電費</v>
      </c>
      <c r="AA137" s="253" t="str">
        <f t="shared" si="23"/>
        <v>無預算</v>
      </c>
    </row>
    <row r="138" spans="1:27" ht="13.8">
      <c r="A138" s="68"/>
      <c r="B138" s="69"/>
      <c r="C138" s="69"/>
      <c r="D138" s="70"/>
      <c r="E138" s="70"/>
      <c r="F138" s="70"/>
      <c r="G138" s="70"/>
      <c r="H138" s="71"/>
      <c r="R138" s="68" t="s">
        <v>179</v>
      </c>
      <c r="S138" s="70" t="s">
        <v>180</v>
      </c>
      <c r="T138" s="70" t="s">
        <v>126</v>
      </c>
      <c r="U138" s="70" t="str">
        <f t="shared" si="22"/>
        <v>D&amp;C資料與雲端平台部</v>
      </c>
      <c r="V138" s="70" t="s">
        <v>293</v>
      </c>
      <c r="W138" s="70" t="s">
        <v>474</v>
      </c>
      <c r="X138" s="70" t="str">
        <f t="shared" si="24"/>
        <v>捐贈</v>
      </c>
      <c r="Y138" s="80">
        <v>0</v>
      </c>
      <c r="Z138" s="70" t="str">
        <f t="shared" si="21"/>
        <v>D&amp;C資料與雲端平台部捐贈</v>
      </c>
      <c r="AA138" s="253" t="str">
        <f t="shared" si="23"/>
        <v>無預算</v>
      </c>
    </row>
    <row r="139" spans="1:27" ht="13.8">
      <c r="A139" s="68"/>
      <c r="B139" s="69"/>
      <c r="C139" s="69"/>
      <c r="D139" s="111"/>
      <c r="E139" s="111"/>
      <c r="F139" s="110"/>
      <c r="G139" s="70"/>
      <c r="H139" s="71"/>
      <c r="R139" s="68" t="s">
        <v>179</v>
      </c>
      <c r="S139" s="70" t="s">
        <v>180</v>
      </c>
      <c r="T139" s="70" t="s">
        <v>126</v>
      </c>
      <c r="U139" s="70" t="str">
        <f t="shared" si="22"/>
        <v>D&amp;C資料與雲端平台部</v>
      </c>
      <c r="V139" s="70" t="s">
        <v>298</v>
      </c>
      <c r="W139" s="70" t="s">
        <v>475</v>
      </c>
      <c r="X139" s="70" t="str">
        <f>V139</f>
        <v>銀行手續費</v>
      </c>
      <c r="Y139" s="80">
        <v>0</v>
      </c>
      <c r="Z139" s="70" t="str">
        <f t="shared" si="21"/>
        <v>D&amp;C資料與雲端平台部銀行手續費</v>
      </c>
      <c r="AA139" s="253" t="str">
        <f t="shared" si="23"/>
        <v>無預算</v>
      </c>
    </row>
    <row r="140" spans="1:27" ht="13.8">
      <c r="A140" s="68"/>
      <c r="B140" s="69"/>
      <c r="C140" s="69"/>
      <c r="D140" s="70"/>
      <c r="E140" s="70"/>
      <c r="F140" s="70"/>
      <c r="G140" s="70"/>
      <c r="H140" s="71"/>
      <c r="R140" s="68" t="s">
        <v>179</v>
      </c>
      <c r="S140" s="70" t="s">
        <v>180</v>
      </c>
      <c r="T140" s="70" t="s">
        <v>126</v>
      </c>
      <c r="U140" s="70" t="str">
        <f t="shared" si="22"/>
        <v>D&amp;C資料與雲端平台部</v>
      </c>
      <c r="V140" s="70" t="s">
        <v>303</v>
      </c>
      <c r="W140" s="70" t="s">
        <v>476</v>
      </c>
      <c r="X140" s="70" t="str">
        <f>V140</f>
        <v>其他費用</v>
      </c>
      <c r="Y140" s="80">
        <v>-3212000</v>
      </c>
      <c r="Z140" s="70" t="str">
        <f t="shared" si="21"/>
        <v>D&amp;C資料與雲端平台部其他費用</v>
      </c>
      <c r="AA140" s="253" t="str">
        <f t="shared" si="23"/>
        <v>115D&amp;CSE99</v>
      </c>
    </row>
    <row r="141" spans="1:27" ht="13.8">
      <c r="A141" s="68"/>
      <c r="B141" s="69"/>
      <c r="C141" s="69"/>
      <c r="D141" s="111"/>
      <c r="E141" s="111"/>
      <c r="F141" s="110"/>
      <c r="G141" s="70"/>
      <c r="H141" s="71"/>
      <c r="R141" s="68" t="s">
        <v>188</v>
      </c>
      <c r="S141" s="70" t="s">
        <v>189</v>
      </c>
      <c r="T141" s="70" t="s">
        <v>126</v>
      </c>
      <c r="U141" s="70" t="str">
        <f t="shared" si="22"/>
        <v>PD產品部</v>
      </c>
      <c r="V141" s="70" t="s">
        <v>127</v>
      </c>
      <c r="W141" s="70" t="s">
        <v>477</v>
      </c>
      <c r="X141" s="70" t="s">
        <v>129</v>
      </c>
      <c r="Y141" s="80">
        <v>-2487820</v>
      </c>
      <c r="Z141" s="70" t="str">
        <f t="shared" si="21"/>
        <v>PD產品部人事費</v>
      </c>
      <c r="AA141" s="253" t="str">
        <f t="shared" si="23"/>
        <v>115PDSE01</v>
      </c>
    </row>
    <row r="142" spans="1:27" ht="13.8">
      <c r="A142" s="68"/>
      <c r="B142" s="69"/>
      <c r="C142" s="69"/>
      <c r="D142" s="70"/>
      <c r="E142" s="70"/>
      <c r="F142" s="70"/>
      <c r="G142" s="70"/>
      <c r="H142" s="71"/>
      <c r="R142" s="68" t="s">
        <v>188</v>
      </c>
      <c r="S142" s="70" t="s">
        <v>189</v>
      </c>
      <c r="T142" s="70" t="s">
        <v>126</v>
      </c>
      <c r="U142" s="70" t="str">
        <f t="shared" si="22"/>
        <v>PD產品部</v>
      </c>
      <c r="V142" s="70" t="s">
        <v>50</v>
      </c>
      <c r="W142" s="70" t="s">
        <v>478</v>
      </c>
      <c r="X142" s="70" t="s">
        <v>50</v>
      </c>
      <c r="Y142" s="80">
        <v>0</v>
      </c>
      <c r="Z142" s="70" t="str">
        <f t="shared" si="21"/>
        <v>PD產品部租金支出</v>
      </c>
      <c r="AA142" s="253" t="str">
        <f t="shared" si="23"/>
        <v>無預算</v>
      </c>
    </row>
    <row r="143" spans="1:27" ht="13.8">
      <c r="A143" s="68"/>
      <c r="B143" s="69"/>
      <c r="C143" s="69"/>
      <c r="D143" s="69"/>
      <c r="E143" s="69"/>
      <c r="F143" s="69"/>
      <c r="G143" s="70"/>
      <c r="H143" s="71"/>
      <c r="R143" s="68" t="s">
        <v>188</v>
      </c>
      <c r="S143" s="70" t="s">
        <v>189</v>
      </c>
      <c r="T143" s="70" t="s">
        <v>126</v>
      </c>
      <c r="U143" s="70" t="str">
        <f t="shared" si="22"/>
        <v>PD產品部</v>
      </c>
      <c r="V143" s="70" t="s">
        <v>151</v>
      </c>
      <c r="W143" s="70" t="s">
        <v>479</v>
      </c>
      <c r="X143" s="70" t="s">
        <v>151</v>
      </c>
      <c r="Y143" s="80">
        <v>-220000</v>
      </c>
      <c r="Z143" s="70" t="str">
        <f t="shared" si="21"/>
        <v>PD產品部旅費</v>
      </c>
      <c r="AA143" s="253" t="str">
        <f t="shared" si="23"/>
        <v>無預算</v>
      </c>
    </row>
    <row r="144" spans="1:27" ht="13.8">
      <c r="A144" s="68"/>
      <c r="B144" s="69"/>
      <c r="C144" s="69"/>
      <c r="D144" s="69"/>
      <c r="E144" s="69"/>
      <c r="F144" s="69"/>
      <c r="G144" s="70"/>
      <c r="H144" s="71"/>
      <c r="R144" s="68" t="s">
        <v>188</v>
      </c>
      <c r="S144" s="70" t="s">
        <v>189</v>
      </c>
      <c r="T144" s="70" t="s">
        <v>126</v>
      </c>
      <c r="U144" s="70" t="str">
        <f t="shared" si="22"/>
        <v>PD產品部</v>
      </c>
      <c r="V144" s="70" t="s">
        <v>70</v>
      </c>
      <c r="W144" s="70" t="s">
        <v>480</v>
      </c>
      <c r="X144" s="70" t="s">
        <v>70</v>
      </c>
      <c r="Y144" s="80">
        <v>-40000</v>
      </c>
      <c r="Z144" s="70" t="str">
        <f t="shared" si="21"/>
        <v>PD產品部運費</v>
      </c>
      <c r="AA144" s="253" t="str">
        <f t="shared" si="23"/>
        <v>115PDSE04</v>
      </c>
    </row>
    <row r="145" spans="1:27" ht="13.8">
      <c r="A145" s="68"/>
      <c r="B145" s="69"/>
      <c r="C145" s="69"/>
      <c r="D145" s="69"/>
      <c r="E145" s="69"/>
      <c r="F145" s="69"/>
      <c r="G145" s="70"/>
      <c r="H145" s="71"/>
      <c r="R145" s="68" t="s">
        <v>188</v>
      </c>
      <c r="S145" s="70" t="s">
        <v>189</v>
      </c>
      <c r="T145" s="70" t="s">
        <v>126</v>
      </c>
      <c r="U145" s="70" t="str">
        <f t="shared" si="22"/>
        <v>PD產品部</v>
      </c>
      <c r="V145" s="70" t="s">
        <v>62</v>
      </c>
      <c r="W145" s="70" t="s">
        <v>481</v>
      </c>
      <c r="X145" s="70" t="s">
        <v>62</v>
      </c>
      <c r="Y145" s="80">
        <v>0</v>
      </c>
      <c r="Z145" s="70" t="str">
        <f t="shared" si="21"/>
        <v>PD產品部郵電費</v>
      </c>
      <c r="AA145" s="253" t="str">
        <f t="shared" si="23"/>
        <v>無預算</v>
      </c>
    </row>
    <row r="146" spans="1:27" ht="13.8">
      <c r="A146" s="68"/>
      <c r="B146" s="69"/>
      <c r="C146" s="69"/>
      <c r="D146" s="69"/>
      <c r="E146" s="69"/>
      <c r="F146" s="69"/>
      <c r="G146" s="70"/>
      <c r="H146" s="71"/>
      <c r="R146" s="68" t="s">
        <v>188</v>
      </c>
      <c r="S146" s="70" t="s">
        <v>189</v>
      </c>
      <c r="T146" s="70" t="s">
        <v>126</v>
      </c>
      <c r="U146" s="70" t="str">
        <f t="shared" si="22"/>
        <v>PD產品部</v>
      </c>
      <c r="V146" s="70" t="s">
        <v>177</v>
      </c>
      <c r="W146" s="70" t="s">
        <v>482</v>
      </c>
      <c r="X146" s="70" t="s">
        <v>177</v>
      </c>
      <c r="Y146" s="80">
        <v>0</v>
      </c>
      <c r="Z146" s="70" t="str">
        <f t="shared" si="21"/>
        <v>PD產品部修繕費</v>
      </c>
      <c r="AA146" s="253" t="str">
        <f t="shared" si="23"/>
        <v>無預算</v>
      </c>
    </row>
    <row r="147" spans="1:27" ht="13.8">
      <c r="A147" s="68"/>
      <c r="B147" s="69"/>
      <c r="C147" s="69"/>
      <c r="D147" s="69"/>
      <c r="E147" s="69"/>
      <c r="F147" s="69"/>
      <c r="G147" s="70"/>
      <c r="H147" s="71"/>
      <c r="J147" s="74"/>
      <c r="L147" s="74"/>
      <c r="R147" s="68" t="s">
        <v>188</v>
      </c>
      <c r="S147" s="70" t="s">
        <v>189</v>
      </c>
      <c r="T147" s="70" t="s">
        <v>126</v>
      </c>
      <c r="U147" s="70" t="str">
        <f t="shared" si="22"/>
        <v>PD產品部</v>
      </c>
      <c r="V147" s="70" t="s">
        <v>54</v>
      </c>
      <c r="W147" s="70" t="s">
        <v>483</v>
      </c>
      <c r="X147" s="70" t="s">
        <v>54</v>
      </c>
      <c r="Y147" s="80">
        <v>0</v>
      </c>
      <c r="Z147" s="70" t="str">
        <f t="shared" si="21"/>
        <v>PD產品部廣告費</v>
      </c>
      <c r="AA147" s="253" t="str">
        <f t="shared" si="23"/>
        <v>無預算</v>
      </c>
    </row>
    <row r="148" spans="1:27" ht="13.8">
      <c r="A148" s="68"/>
      <c r="B148" s="69"/>
      <c r="C148" s="69"/>
      <c r="D148" s="69"/>
      <c r="E148" s="69"/>
      <c r="F148" s="69"/>
      <c r="G148" s="70"/>
      <c r="H148" s="71"/>
      <c r="J148" s="74"/>
      <c r="K148" s="74"/>
      <c r="L148" s="74"/>
      <c r="M148" s="74"/>
      <c r="N148" s="74"/>
      <c r="O148" s="74"/>
      <c r="P148" s="74"/>
      <c r="Q148" s="74"/>
      <c r="R148" s="68" t="s">
        <v>188</v>
      </c>
      <c r="S148" s="70" t="s">
        <v>189</v>
      </c>
      <c r="T148" s="70" t="s">
        <v>126</v>
      </c>
      <c r="U148" s="70" t="str">
        <f t="shared" si="22"/>
        <v>PD產品部</v>
      </c>
      <c r="V148" s="70" t="s">
        <v>195</v>
      </c>
      <c r="W148" s="70" t="s">
        <v>484</v>
      </c>
      <c r="X148" s="70" t="s">
        <v>195</v>
      </c>
      <c r="Y148" s="80">
        <v>-249400</v>
      </c>
      <c r="Z148" s="70" t="str">
        <f t="shared" si="21"/>
        <v>PD產品部保險費</v>
      </c>
      <c r="AA148" s="253" t="str">
        <f t="shared" si="23"/>
        <v>115PDSE08</v>
      </c>
    </row>
    <row r="149" spans="1:27" ht="13.8">
      <c r="A149" s="68"/>
      <c r="B149" s="69"/>
      <c r="C149" s="69"/>
      <c r="D149" s="69"/>
      <c r="E149" s="69"/>
      <c r="F149" s="69"/>
      <c r="G149" s="70"/>
      <c r="H149" s="71"/>
      <c r="K149" s="74"/>
      <c r="M149" s="74"/>
      <c r="N149" s="74"/>
      <c r="O149" s="74"/>
      <c r="P149" s="74"/>
      <c r="Q149" s="74"/>
      <c r="R149" s="68" t="s">
        <v>188</v>
      </c>
      <c r="S149" s="70" t="s">
        <v>189</v>
      </c>
      <c r="T149" s="70" t="s">
        <v>126</v>
      </c>
      <c r="U149" s="70" t="str">
        <f t="shared" si="22"/>
        <v>PD產品部</v>
      </c>
      <c r="V149" s="70" t="s">
        <v>74</v>
      </c>
      <c r="W149" s="70" t="s">
        <v>485</v>
      </c>
      <c r="X149" s="70" t="s">
        <v>74</v>
      </c>
      <c r="Y149" s="80">
        <v>-5400</v>
      </c>
      <c r="Z149" s="70" t="str">
        <f t="shared" si="21"/>
        <v>PD產品部交際費</v>
      </c>
      <c r="AA149" s="253" t="str">
        <f t="shared" si="23"/>
        <v>115PDSE09</v>
      </c>
    </row>
    <row r="150" spans="1:27" ht="13.8">
      <c r="A150" s="68"/>
      <c r="B150" s="69"/>
      <c r="C150" s="70"/>
      <c r="D150" s="70"/>
      <c r="E150" s="70"/>
      <c r="F150" s="69"/>
      <c r="G150" s="69"/>
      <c r="H150" s="71"/>
      <c r="R150" s="68" t="s">
        <v>188</v>
      </c>
      <c r="S150" s="70" t="s">
        <v>189</v>
      </c>
      <c r="T150" s="70" t="s">
        <v>126</v>
      </c>
      <c r="U150" s="70" t="str">
        <f t="shared" si="22"/>
        <v>PD產品部</v>
      </c>
      <c r="V150" s="70" t="s">
        <v>217</v>
      </c>
      <c r="W150" s="70" t="s">
        <v>486</v>
      </c>
      <c r="X150" s="70" t="s">
        <v>217</v>
      </c>
      <c r="Y150" s="80">
        <v>0</v>
      </c>
      <c r="Z150" s="70" t="str">
        <f t="shared" si="21"/>
        <v>PD產品部折舊及攤銷</v>
      </c>
      <c r="AA150" s="253" t="str">
        <f t="shared" si="23"/>
        <v>無預算</v>
      </c>
    </row>
    <row r="151" spans="1:27" ht="13.8">
      <c r="A151" s="68"/>
      <c r="B151" s="69"/>
      <c r="C151" s="70"/>
      <c r="D151" s="70"/>
      <c r="E151" s="70"/>
      <c r="F151" s="69"/>
      <c r="G151" s="69"/>
      <c r="H151" s="71"/>
      <c r="R151" s="68" t="s">
        <v>188</v>
      </c>
      <c r="S151" s="70" t="s">
        <v>189</v>
      </c>
      <c r="T151" s="70" t="s">
        <v>126</v>
      </c>
      <c r="U151" s="70" t="str">
        <f t="shared" si="22"/>
        <v>PD產品部</v>
      </c>
      <c r="V151" s="70" t="s">
        <v>78</v>
      </c>
      <c r="W151" s="70" t="s">
        <v>487</v>
      </c>
      <c r="X151" s="70" t="s">
        <v>78</v>
      </c>
      <c r="Y151" s="80">
        <v>-4500</v>
      </c>
      <c r="Z151" s="70" t="str">
        <f t="shared" si="21"/>
        <v>PD產品部職工福利</v>
      </c>
      <c r="AA151" s="253" t="str">
        <f t="shared" si="23"/>
        <v>115PDSE11</v>
      </c>
    </row>
    <row r="152" spans="1:27" ht="13.8">
      <c r="A152" s="68"/>
      <c r="B152" s="69"/>
      <c r="C152" s="70"/>
      <c r="D152" s="70"/>
      <c r="E152" s="70"/>
      <c r="F152" s="69"/>
      <c r="G152" s="69"/>
      <c r="H152" s="71"/>
      <c r="R152" s="68" t="s">
        <v>188</v>
      </c>
      <c r="S152" s="70" t="s">
        <v>189</v>
      </c>
      <c r="T152" s="70" t="s">
        <v>126</v>
      </c>
      <c r="U152" s="70" t="str">
        <f t="shared" si="22"/>
        <v>PD產品部</v>
      </c>
      <c r="V152" s="70" t="s">
        <v>47</v>
      </c>
      <c r="W152" s="70" t="s">
        <v>488</v>
      </c>
      <c r="X152" s="70" t="s">
        <v>47</v>
      </c>
      <c r="Y152" s="80">
        <v>0</v>
      </c>
      <c r="Z152" s="70" t="str">
        <f t="shared" si="21"/>
        <v>PD產品部訓練費</v>
      </c>
      <c r="AA152" s="253" t="str">
        <f t="shared" si="23"/>
        <v>無預算</v>
      </c>
    </row>
    <row r="153" spans="1:27" ht="13.8">
      <c r="A153" s="68"/>
      <c r="B153" s="69"/>
      <c r="C153" s="70"/>
      <c r="D153" s="70"/>
      <c r="E153" s="70"/>
      <c r="F153" s="69"/>
      <c r="G153" s="69"/>
      <c r="H153" s="71"/>
      <c r="R153" s="68" t="s">
        <v>188</v>
      </c>
      <c r="S153" s="70" t="s">
        <v>189</v>
      </c>
      <c r="T153" s="70" t="s">
        <v>126</v>
      </c>
      <c r="U153" s="70" t="str">
        <f t="shared" si="22"/>
        <v>PD產品部</v>
      </c>
      <c r="V153" s="70" t="s">
        <v>238</v>
      </c>
      <c r="W153" s="70" t="s">
        <v>489</v>
      </c>
      <c r="X153" s="70" t="str">
        <f>V153</f>
        <v>開發費</v>
      </c>
      <c r="Y153" s="80">
        <v>0</v>
      </c>
      <c r="Z153" s="70" t="str">
        <f t="shared" si="21"/>
        <v>PD產品部開發費</v>
      </c>
      <c r="AA153" s="253" t="str">
        <f t="shared" si="23"/>
        <v>無預算</v>
      </c>
    </row>
    <row r="154" spans="1:27" ht="13.8">
      <c r="A154" s="68"/>
      <c r="B154" s="69"/>
      <c r="C154" s="70"/>
      <c r="D154" s="70"/>
      <c r="E154" s="70"/>
      <c r="F154" s="69"/>
      <c r="G154" s="69"/>
      <c r="H154" s="71"/>
      <c r="R154" s="68" t="s">
        <v>188</v>
      </c>
      <c r="S154" s="70" t="s">
        <v>189</v>
      </c>
      <c r="T154" s="70" t="s">
        <v>126</v>
      </c>
      <c r="U154" s="70" t="str">
        <f t="shared" si="22"/>
        <v>PD產品部</v>
      </c>
      <c r="V154" s="70" t="s">
        <v>56</v>
      </c>
      <c r="W154" s="70" t="s">
        <v>490</v>
      </c>
      <c r="X154" s="70" t="s">
        <v>56</v>
      </c>
      <c r="Y154" s="80">
        <v>0</v>
      </c>
      <c r="Z154" s="70" t="str">
        <f t="shared" si="21"/>
        <v>PD產品部勞務費</v>
      </c>
      <c r="AA154" s="253" t="str">
        <f t="shared" si="23"/>
        <v>無預算</v>
      </c>
    </row>
    <row r="155" spans="1:27" ht="13.8">
      <c r="A155" s="68"/>
      <c r="B155" s="69"/>
      <c r="C155" s="69"/>
      <c r="D155" s="111"/>
      <c r="E155" s="111"/>
      <c r="F155" s="110"/>
      <c r="G155" s="70"/>
      <c r="H155" s="71"/>
      <c r="R155" s="68" t="s">
        <v>188</v>
      </c>
      <c r="S155" s="70" t="s">
        <v>189</v>
      </c>
      <c r="T155" s="70" t="s">
        <v>126</v>
      </c>
      <c r="U155" s="70" t="str">
        <f t="shared" si="22"/>
        <v>PD產品部</v>
      </c>
      <c r="V155" s="70" t="s">
        <v>255</v>
      </c>
      <c r="W155" s="70" t="s">
        <v>491</v>
      </c>
      <c r="X155" s="70" t="s">
        <v>255</v>
      </c>
      <c r="Y155" s="80">
        <v>-54000</v>
      </c>
      <c r="Z155" s="70" t="str">
        <f t="shared" si="21"/>
        <v>PD產品部交通費</v>
      </c>
      <c r="AA155" s="253" t="str">
        <f t="shared" si="23"/>
        <v>115PDSE15</v>
      </c>
    </row>
    <row r="156" spans="1:27" ht="13.8">
      <c r="A156" s="68"/>
      <c r="B156" s="69"/>
      <c r="C156" s="69"/>
      <c r="D156" s="70"/>
      <c r="E156" s="70"/>
      <c r="F156" s="69"/>
      <c r="G156" s="70"/>
      <c r="H156" s="71"/>
      <c r="R156" s="68" t="s">
        <v>188</v>
      </c>
      <c r="S156" s="70" t="s">
        <v>189</v>
      </c>
      <c r="T156" s="70" t="s">
        <v>126</v>
      </c>
      <c r="U156" s="70" t="str">
        <f t="shared" si="22"/>
        <v>PD產品部</v>
      </c>
      <c r="V156" s="70" t="s">
        <v>262</v>
      </c>
      <c r="W156" s="70" t="s">
        <v>492</v>
      </c>
      <c r="X156" s="70" t="s">
        <v>262</v>
      </c>
      <c r="Y156" s="80">
        <v>-84000</v>
      </c>
      <c r="Z156" s="70" t="str">
        <f t="shared" si="21"/>
        <v>PD產品部設備</v>
      </c>
      <c r="AA156" s="253" t="str">
        <f t="shared" si="23"/>
        <v>115PDSE16</v>
      </c>
    </row>
    <row r="157" spans="1:27" ht="13.8">
      <c r="A157" s="68"/>
      <c r="B157" s="69"/>
      <c r="C157" s="69"/>
      <c r="D157" s="70"/>
      <c r="E157" s="70"/>
      <c r="F157" s="69"/>
      <c r="G157" s="70"/>
      <c r="H157" s="71"/>
      <c r="R157" s="68" t="s">
        <v>188</v>
      </c>
      <c r="S157" s="70" t="s">
        <v>189</v>
      </c>
      <c r="T157" s="70" t="s">
        <v>126</v>
      </c>
      <c r="U157" s="70" t="str">
        <f t="shared" si="22"/>
        <v>PD產品部</v>
      </c>
      <c r="V157" s="70" t="s">
        <v>270</v>
      </c>
      <c r="W157" s="70" t="s">
        <v>493</v>
      </c>
      <c r="X157" s="70" t="str">
        <f>V157</f>
        <v>雜項購置</v>
      </c>
      <c r="Y157" s="80">
        <v>0</v>
      </c>
      <c r="Z157" s="70" t="str">
        <f t="shared" si="21"/>
        <v>PD產品部雜項購置</v>
      </c>
      <c r="AA157" s="253" t="str">
        <f t="shared" si="23"/>
        <v>無預算</v>
      </c>
    </row>
    <row r="158" spans="1:27" ht="13.8">
      <c r="A158" s="68"/>
      <c r="B158" s="69"/>
      <c r="C158" s="69"/>
      <c r="D158" s="111"/>
      <c r="E158" s="111"/>
      <c r="F158" s="110"/>
      <c r="G158" s="70"/>
      <c r="H158" s="71"/>
      <c r="R158" s="68" t="s">
        <v>188</v>
      </c>
      <c r="S158" s="70" t="s">
        <v>189</v>
      </c>
      <c r="T158" s="70" t="s">
        <v>126</v>
      </c>
      <c r="U158" s="70" t="str">
        <f t="shared" si="22"/>
        <v>PD產品部</v>
      </c>
      <c r="V158" s="70" t="s">
        <v>276</v>
      </c>
      <c r="W158" s="70" t="s">
        <v>494</v>
      </c>
      <c r="X158" s="70" t="str">
        <f>V158</f>
        <v>退休金</v>
      </c>
      <c r="Y158" s="80">
        <v>-143000</v>
      </c>
      <c r="Z158" s="70" t="str">
        <f t="shared" si="21"/>
        <v>PD產品部退休金</v>
      </c>
      <c r="AA158" s="253" t="str">
        <f t="shared" si="23"/>
        <v>115PDSE18</v>
      </c>
    </row>
    <row r="159" spans="1:27" ht="13.8">
      <c r="A159" s="68"/>
      <c r="B159" s="69"/>
      <c r="C159" s="69"/>
      <c r="D159" s="111"/>
      <c r="E159" s="111"/>
      <c r="F159" s="110"/>
      <c r="G159" s="70"/>
      <c r="H159" s="71"/>
      <c r="R159" s="68" t="s">
        <v>188</v>
      </c>
      <c r="S159" s="70" t="s">
        <v>189</v>
      </c>
      <c r="T159" s="70" t="s">
        <v>126</v>
      </c>
      <c r="U159" s="70" t="str">
        <f t="shared" si="22"/>
        <v>PD產品部</v>
      </c>
      <c r="V159" s="70" t="s">
        <v>283</v>
      </c>
      <c r="W159" s="70" t="s">
        <v>495</v>
      </c>
      <c r="X159" s="70" t="str">
        <f t="shared" ref="X159:X161" si="25">V159</f>
        <v>文具用品</v>
      </c>
      <c r="Y159" s="80">
        <v>0</v>
      </c>
      <c r="Z159" s="70" t="str">
        <f t="shared" si="21"/>
        <v>PD產品部文具用品</v>
      </c>
      <c r="AA159" s="253" t="str">
        <f t="shared" si="23"/>
        <v>無預算</v>
      </c>
    </row>
    <row r="160" spans="1:27" ht="13.8">
      <c r="A160" s="68"/>
      <c r="B160" s="69"/>
      <c r="C160" s="69"/>
      <c r="D160" s="70"/>
      <c r="E160" s="70"/>
      <c r="F160" s="70"/>
      <c r="G160" s="70"/>
      <c r="H160" s="71"/>
      <c r="R160" s="68" t="s">
        <v>188</v>
      </c>
      <c r="S160" s="70" t="s">
        <v>189</v>
      </c>
      <c r="T160" s="70" t="s">
        <v>126</v>
      </c>
      <c r="U160" s="70" t="str">
        <f t="shared" si="22"/>
        <v>PD產品部</v>
      </c>
      <c r="V160" s="70" t="s">
        <v>288</v>
      </c>
      <c r="W160" s="70" t="s">
        <v>496</v>
      </c>
      <c r="X160" s="70" t="str">
        <f t="shared" si="25"/>
        <v>水電費</v>
      </c>
      <c r="Y160" s="80">
        <v>0</v>
      </c>
      <c r="Z160" s="70" t="str">
        <f t="shared" si="21"/>
        <v>PD產品部水電費</v>
      </c>
      <c r="AA160" s="253" t="str">
        <f t="shared" si="23"/>
        <v>無預算</v>
      </c>
    </row>
    <row r="161" spans="1:27" ht="13.8">
      <c r="A161" s="68"/>
      <c r="B161" s="69"/>
      <c r="C161" s="69"/>
      <c r="D161" s="111"/>
      <c r="E161" s="111"/>
      <c r="F161" s="110"/>
      <c r="G161" s="70"/>
      <c r="H161" s="71"/>
      <c r="R161" s="68" t="s">
        <v>188</v>
      </c>
      <c r="S161" s="70" t="s">
        <v>189</v>
      </c>
      <c r="T161" s="70" t="s">
        <v>126</v>
      </c>
      <c r="U161" s="70" t="str">
        <f t="shared" si="22"/>
        <v>PD產品部</v>
      </c>
      <c r="V161" s="70" t="s">
        <v>293</v>
      </c>
      <c r="W161" s="70" t="s">
        <v>497</v>
      </c>
      <c r="X161" s="70" t="str">
        <f t="shared" si="25"/>
        <v>捐贈</v>
      </c>
      <c r="Y161" s="80">
        <v>0</v>
      </c>
      <c r="Z161" s="70" t="str">
        <f t="shared" si="21"/>
        <v>PD產品部捐贈</v>
      </c>
      <c r="AA161" s="253" t="str">
        <f t="shared" si="23"/>
        <v>無預算</v>
      </c>
    </row>
    <row r="162" spans="1:27" ht="13.8">
      <c r="A162" s="68"/>
      <c r="B162" s="69"/>
      <c r="C162" s="69"/>
      <c r="D162" s="70"/>
      <c r="E162" s="70"/>
      <c r="F162" s="70"/>
      <c r="G162" s="70"/>
      <c r="H162" s="71"/>
      <c r="R162" s="68" t="s">
        <v>188</v>
      </c>
      <c r="S162" s="70" t="s">
        <v>189</v>
      </c>
      <c r="T162" s="70" t="s">
        <v>126</v>
      </c>
      <c r="U162" s="70" t="str">
        <f t="shared" ref="U162" si="26">S162&amp;R162</f>
        <v>PD產品部</v>
      </c>
      <c r="V162" s="70" t="s">
        <v>298</v>
      </c>
      <c r="W162" s="70" t="s">
        <v>498</v>
      </c>
      <c r="X162" s="70" t="str">
        <f>V162</f>
        <v>銀行手續費</v>
      </c>
      <c r="Y162" s="80">
        <v>0</v>
      </c>
      <c r="Z162" s="70" t="str">
        <f t="shared" ref="Z162" si="27">U162&amp;V162</f>
        <v>PD產品部銀行手續費</v>
      </c>
      <c r="AA162" s="253" t="str">
        <f t="shared" ref="AA162" si="28">IF(OR(X162="旅費", X162="折舊及攤銷"), "無預算", IF(AND(ISNUMBER(Y162), Y162&lt;&gt;0), W162, "無預算"))</f>
        <v>無預算</v>
      </c>
    </row>
    <row r="163" spans="1:27" ht="13.8">
      <c r="A163" s="68"/>
      <c r="B163" s="69"/>
      <c r="C163" s="69"/>
      <c r="D163" s="111"/>
      <c r="E163" s="111"/>
      <c r="F163" s="110"/>
      <c r="G163" s="70"/>
      <c r="H163" s="71"/>
      <c r="R163" s="68" t="s">
        <v>188</v>
      </c>
      <c r="S163" s="70" t="s">
        <v>189</v>
      </c>
      <c r="T163" s="70" t="s">
        <v>126</v>
      </c>
      <c r="U163" s="70" t="str">
        <f t="shared" si="22"/>
        <v>PD產品部</v>
      </c>
      <c r="V163" s="70" t="s">
        <v>303</v>
      </c>
      <c r="W163" s="70" t="s">
        <v>499</v>
      </c>
      <c r="X163" s="70" t="str">
        <f>V163</f>
        <v>其他費用</v>
      </c>
      <c r="Y163" s="80">
        <v>0</v>
      </c>
      <c r="Z163" s="70" t="str">
        <f t="shared" si="21"/>
        <v>PD產品部其他費用</v>
      </c>
      <c r="AA163" s="253" t="str">
        <f t="shared" si="23"/>
        <v>無預算</v>
      </c>
    </row>
    <row r="164" spans="1:27" ht="13.8">
      <c r="A164" s="68"/>
      <c r="B164" s="69"/>
      <c r="C164" s="69"/>
      <c r="D164" s="70"/>
      <c r="E164" s="70"/>
      <c r="F164" s="70"/>
      <c r="G164" s="70"/>
      <c r="H164" s="71"/>
      <c r="R164" s="68" t="s">
        <v>201</v>
      </c>
      <c r="S164" s="70" t="s">
        <v>202</v>
      </c>
      <c r="T164" s="70" t="s">
        <v>126</v>
      </c>
      <c r="U164" s="70" t="str">
        <f t="shared" si="22"/>
        <v>VD車輛開發部</v>
      </c>
      <c r="V164" s="70" t="s">
        <v>127</v>
      </c>
      <c r="W164" s="70" t="s">
        <v>500</v>
      </c>
      <c r="X164" s="70" t="s">
        <v>129</v>
      </c>
      <c r="Y164" s="80">
        <v>-6873937</v>
      </c>
      <c r="Z164" s="70" t="str">
        <f t="shared" si="21"/>
        <v>VD車輛開發部人事費</v>
      </c>
      <c r="AA164" s="253" t="str">
        <f t="shared" si="23"/>
        <v>115VDSE01</v>
      </c>
    </row>
    <row r="165" spans="1:27" ht="13.8">
      <c r="A165" s="68"/>
      <c r="B165" s="69"/>
      <c r="C165" s="69"/>
      <c r="D165" s="69"/>
      <c r="E165" s="69"/>
      <c r="F165" s="69"/>
      <c r="G165" s="70"/>
      <c r="H165" s="71"/>
      <c r="R165" s="68" t="s">
        <v>201</v>
      </c>
      <c r="S165" s="70" t="s">
        <v>202</v>
      </c>
      <c r="T165" s="70" t="s">
        <v>126</v>
      </c>
      <c r="U165" s="70" t="str">
        <f t="shared" si="22"/>
        <v>VD車輛開發部</v>
      </c>
      <c r="V165" s="70" t="s">
        <v>50</v>
      </c>
      <c r="W165" s="70" t="s">
        <v>501</v>
      </c>
      <c r="X165" s="70" t="s">
        <v>50</v>
      </c>
      <c r="Y165" s="80">
        <v>-27000</v>
      </c>
      <c r="Z165" s="70" t="str">
        <f t="shared" si="21"/>
        <v>VD車輛開發部租金支出</v>
      </c>
      <c r="AA165" s="253" t="str">
        <f t="shared" si="23"/>
        <v>115VDSE02</v>
      </c>
    </row>
    <row r="166" spans="1:27" ht="13.8">
      <c r="A166" s="68"/>
      <c r="B166" s="69"/>
      <c r="C166" s="69"/>
      <c r="D166" s="69"/>
      <c r="E166" s="69"/>
      <c r="F166" s="69"/>
      <c r="G166" s="70"/>
      <c r="H166" s="71"/>
      <c r="R166" s="68" t="s">
        <v>201</v>
      </c>
      <c r="S166" s="70" t="s">
        <v>202</v>
      </c>
      <c r="T166" s="70" t="s">
        <v>126</v>
      </c>
      <c r="U166" s="70" t="str">
        <f t="shared" si="22"/>
        <v>VD車輛開發部</v>
      </c>
      <c r="V166" s="70" t="s">
        <v>151</v>
      </c>
      <c r="W166" s="70" t="s">
        <v>502</v>
      </c>
      <c r="X166" s="70" t="s">
        <v>151</v>
      </c>
      <c r="Y166" s="80">
        <v>-217200</v>
      </c>
      <c r="Z166" s="70" t="str">
        <f t="shared" si="21"/>
        <v>VD車輛開發部旅費</v>
      </c>
      <c r="AA166" s="253" t="str">
        <f t="shared" si="23"/>
        <v>無預算</v>
      </c>
    </row>
    <row r="167" spans="1:27" ht="13.8">
      <c r="A167" s="68"/>
      <c r="B167" s="69"/>
      <c r="C167" s="69"/>
      <c r="D167" s="69"/>
      <c r="E167" s="69"/>
      <c r="F167" s="69"/>
      <c r="G167" s="70"/>
      <c r="H167" s="71"/>
      <c r="R167" s="68" t="s">
        <v>201</v>
      </c>
      <c r="S167" s="70" t="s">
        <v>202</v>
      </c>
      <c r="T167" s="70" t="s">
        <v>126</v>
      </c>
      <c r="U167" s="70" t="str">
        <f t="shared" si="22"/>
        <v>VD車輛開發部</v>
      </c>
      <c r="V167" s="70" t="s">
        <v>70</v>
      </c>
      <c r="W167" s="70" t="s">
        <v>503</v>
      </c>
      <c r="X167" s="70" t="s">
        <v>70</v>
      </c>
      <c r="Y167" s="80">
        <v>-17000</v>
      </c>
      <c r="Z167" s="70" t="str">
        <f t="shared" si="21"/>
        <v>VD車輛開發部運費</v>
      </c>
      <c r="AA167" s="253" t="str">
        <f t="shared" si="23"/>
        <v>115VDSE04</v>
      </c>
    </row>
    <row r="168" spans="1:27" ht="13.8">
      <c r="A168" s="68"/>
      <c r="B168" s="69"/>
      <c r="C168" s="69"/>
      <c r="D168" s="69"/>
      <c r="E168" s="69"/>
      <c r="F168" s="69"/>
      <c r="G168" s="70"/>
      <c r="H168" s="71"/>
      <c r="R168" s="68" t="s">
        <v>201</v>
      </c>
      <c r="S168" s="70" t="s">
        <v>202</v>
      </c>
      <c r="T168" s="70" t="s">
        <v>126</v>
      </c>
      <c r="U168" s="70" t="str">
        <f t="shared" si="22"/>
        <v>VD車輛開發部</v>
      </c>
      <c r="V168" s="70" t="s">
        <v>62</v>
      </c>
      <c r="W168" s="70" t="s">
        <v>504</v>
      </c>
      <c r="X168" s="70" t="s">
        <v>62</v>
      </c>
      <c r="Y168" s="80">
        <v>-2400</v>
      </c>
      <c r="Z168" s="70" t="str">
        <f t="shared" si="21"/>
        <v>VD車輛開發部郵電費</v>
      </c>
      <c r="AA168" s="253" t="str">
        <f t="shared" si="23"/>
        <v>115VDSE05</v>
      </c>
    </row>
    <row r="169" spans="1:27" ht="13.8">
      <c r="A169" s="68"/>
      <c r="B169" s="69"/>
      <c r="C169" s="69"/>
      <c r="D169" s="69"/>
      <c r="E169" s="69"/>
      <c r="F169" s="69"/>
      <c r="G169" s="70"/>
      <c r="H169" s="71"/>
      <c r="J169" s="74"/>
      <c r="L169" s="74"/>
      <c r="R169" s="68" t="s">
        <v>201</v>
      </c>
      <c r="S169" s="70" t="s">
        <v>202</v>
      </c>
      <c r="T169" s="70" t="s">
        <v>126</v>
      </c>
      <c r="U169" s="70" t="str">
        <f t="shared" si="22"/>
        <v>VD車輛開發部</v>
      </c>
      <c r="V169" s="70" t="s">
        <v>177</v>
      </c>
      <c r="W169" s="70" t="s">
        <v>505</v>
      </c>
      <c r="X169" s="70" t="s">
        <v>177</v>
      </c>
      <c r="Y169" s="80">
        <v>-49000</v>
      </c>
      <c r="Z169" s="70" t="str">
        <f t="shared" si="21"/>
        <v>VD車輛開發部修繕費</v>
      </c>
      <c r="AA169" s="253" t="str">
        <f t="shared" si="23"/>
        <v>115VDSE06</v>
      </c>
    </row>
    <row r="170" spans="1:27" ht="13.8">
      <c r="A170" s="68"/>
      <c r="B170" s="69"/>
      <c r="C170" s="69"/>
      <c r="D170" s="69"/>
      <c r="E170" s="69"/>
      <c r="F170" s="69"/>
      <c r="G170" s="70"/>
      <c r="H170" s="71"/>
      <c r="J170" s="74"/>
      <c r="K170" s="74"/>
      <c r="L170" s="74"/>
      <c r="M170" s="74"/>
      <c r="N170" s="74"/>
      <c r="O170" s="74"/>
      <c r="P170" s="74"/>
      <c r="Q170" s="74"/>
      <c r="R170" s="68" t="s">
        <v>201</v>
      </c>
      <c r="S170" s="70" t="s">
        <v>202</v>
      </c>
      <c r="T170" s="70" t="s">
        <v>126</v>
      </c>
      <c r="U170" s="70" t="str">
        <f t="shared" si="22"/>
        <v>VD車輛開發部</v>
      </c>
      <c r="V170" s="70" t="s">
        <v>54</v>
      </c>
      <c r="W170" s="70" t="s">
        <v>506</v>
      </c>
      <c r="X170" s="70" t="s">
        <v>54</v>
      </c>
      <c r="Y170" s="80">
        <v>0</v>
      </c>
      <c r="Z170" s="70" t="str">
        <f t="shared" si="21"/>
        <v>VD車輛開發部廣告費</v>
      </c>
      <c r="AA170" s="253" t="str">
        <f t="shared" si="23"/>
        <v>無預算</v>
      </c>
    </row>
    <row r="171" spans="1:27" ht="13.8">
      <c r="A171" s="68"/>
      <c r="B171" s="69"/>
      <c r="C171" s="69"/>
      <c r="D171" s="69"/>
      <c r="E171" s="69"/>
      <c r="F171" s="69"/>
      <c r="G171" s="70"/>
      <c r="H171" s="71"/>
      <c r="K171" s="74"/>
      <c r="M171" s="74"/>
      <c r="N171" s="74"/>
      <c r="O171" s="74"/>
      <c r="P171" s="74"/>
      <c r="Q171" s="74"/>
      <c r="R171" s="68" t="s">
        <v>201</v>
      </c>
      <c r="S171" s="70" t="s">
        <v>202</v>
      </c>
      <c r="T171" s="70" t="s">
        <v>126</v>
      </c>
      <c r="U171" s="70" t="str">
        <f t="shared" si="22"/>
        <v>VD車輛開發部</v>
      </c>
      <c r="V171" s="70" t="s">
        <v>195</v>
      </c>
      <c r="W171" s="70" t="s">
        <v>507</v>
      </c>
      <c r="X171" s="70" t="s">
        <v>195</v>
      </c>
      <c r="Y171" s="80">
        <v>-566940</v>
      </c>
      <c r="Z171" s="70" t="str">
        <f t="shared" si="21"/>
        <v>VD車輛開發部保險費</v>
      </c>
      <c r="AA171" s="253" t="str">
        <f t="shared" si="23"/>
        <v>115VDSE08</v>
      </c>
    </row>
    <row r="172" spans="1:27" ht="13.8">
      <c r="A172" s="68"/>
      <c r="B172" s="69"/>
      <c r="C172" s="70"/>
      <c r="D172" s="70"/>
      <c r="E172" s="70"/>
      <c r="F172" s="69"/>
      <c r="G172" s="69"/>
      <c r="H172" s="71"/>
      <c r="R172" s="68" t="s">
        <v>201</v>
      </c>
      <c r="S172" s="70" t="s">
        <v>202</v>
      </c>
      <c r="T172" s="70" t="s">
        <v>126</v>
      </c>
      <c r="U172" s="70" t="str">
        <f t="shared" si="22"/>
        <v>VD車輛開發部</v>
      </c>
      <c r="V172" s="70" t="s">
        <v>74</v>
      </c>
      <c r="W172" s="70" t="s">
        <v>508</v>
      </c>
      <c r="X172" s="70" t="s">
        <v>74</v>
      </c>
      <c r="Y172" s="80">
        <v>-12000</v>
      </c>
      <c r="Z172" s="70" t="str">
        <f t="shared" si="21"/>
        <v>VD車輛開發部交際費</v>
      </c>
      <c r="AA172" s="253" t="str">
        <f t="shared" si="23"/>
        <v>115VDSE09</v>
      </c>
    </row>
    <row r="173" spans="1:27" ht="13.8">
      <c r="A173" s="68"/>
      <c r="B173" s="69"/>
      <c r="C173" s="70"/>
      <c r="D173" s="70"/>
      <c r="E173" s="70"/>
      <c r="F173" s="69"/>
      <c r="G173" s="69"/>
      <c r="H173" s="71"/>
      <c r="R173" s="68" t="s">
        <v>201</v>
      </c>
      <c r="S173" s="70" t="s">
        <v>202</v>
      </c>
      <c r="T173" s="70" t="s">
        <v>126</v>
      </c>
      <c r="U173" s="70" t="str">
        <f t="shared" si="22"/>
        <v>VD車輛開發部</v>
      </c>
      <c r="V173" s="70" t="s">
        <v>217</v>
      </c>
      <c r="W173" s="70" t="s">
        <v>509</v>
      </c>
      <c r="X173" s="70" t="s">
        <v>217</v>
      </c>
      <c r="Y173" s="80">
        <v>-429840</v>
      </c>
      <c r="Z173" s="70" t="str">
        <f t="shared" si="21"/>
        <v>VD車輛開發部折舊及攤銷</v>
      </c>
      <c r="AA173" s="253" t="str">
        <f t="shared" si="23"/>
        <v>無預算</v>
      </c>
    </row>
    <row r="174" spans="1:27" ht="13.8">
      <c r="A174" s="68"/>
      <c r="B174" s="69"/>
      <c r="C174" s="70"/>
      <c r="D174" s="70"/>
      <c r="E174" s="70"/>
      <c r="F174" s="69"/>
      <c r="G174" s="69"/>
      <c r="H174" s="71"/>
      <c r="R174" s="68" t="s">
        <v>201</v>
      </c>
      <c r="S174" s="70" t="s">
        <v>202</v>
      </c>
      <c r="T174" s="70" t="s">
        <v>126</v>
      </c>
      <c r="U174" s="70" t="str">
        <f t="shared" si="22"/>
        <v>VD車輛開發部</v>
      </c>
      <c r="V174" s="70" t="s">
        <v>78</v>
      </c>
      <c r="W174" s="70" t="s">
        <v>510</v>
      </c>
      <c r="X174" s="70" t="s">
        <v>78</v>
      </c>
      <c r="Y174" s="80">
        <v>-10000</v>
      </c>
      <c r="Z174" s="70" t="str">
        <f t="shared" si="21"/>
        <v>VD車輛開發部職工福利</v>
      </c>
      <c r="AA174" s="253" t="str">
        <f t="shared" si="23"/>
        <v>115VDSE11</v>
      </c>
    </row>
    <row r="175" spans="1:27" ht="13.8">
      <c r="A175" s="68"/>
      <c r="B175" s="69"/>
      <c r="C175" s="70"/>
      <c r="D175" s="70"/>
      <c r="E175" s="70"/>
      <c r="F175" s="69"/>
      <c r="G175" s="69"/>
      <c r="H175" s="71"/>
      <c r="R175" s="68" t="s">
        <v>201</v>
      </c>
      <c r="S175" s="70" t="s">
        <v>202</v>
      </c>
      <c r="T175" s="70" t="s">
        <v>126</v>
      </c>
      <c r="U175" s="70" t="str">
        <f t="shared" si="22"/>
        <v>VD車輛開發部</v>
      </c>
      <c r="V175" s="70" t="s">
        <v>47</v>
      </c>
      <c r="W175" s="70" t="s">
        <v>511</v>
      </c>
      <c r="X175" s="70" t="s">
        <v>47</v>
      </c>
      <c r="Y175" s="80">
        <v>-36000</v>
      </c>
      <c r="Z175" s="70" t="str">
        <f t="shared" si="21"/>
        <v>VD車輛開發部訓練費</v>
      </c>
      <c r="AA175" s="253" t="str">
        <f t="shared" si="23"/>
        <v>115VDSE12</v>
      </c>
    </row>
    <row r="176" spans="1:27" ht="13.8">
      <c r="A176" s="68"/>
      <c r="B176" s="69"/>
      <c r="C176" s="70"/>
      <c r="D176" s="70"/>
      <c r="E176" s="70"/>
      <c r="F176" s="69"/>
      <c r="G176" s="69"/>
      <c r="H176" s="71"/>
      <c r="R176" s="68" t="s">
        <v>201</v>
      </c>
      <c r="S176" s="70" t="s">
        <v>202</v>
      </c>
      <c r="T176" s="70" t="s">
        <v>126</v>
      </c>
      <c r="U176" s="70" t="str">
        <f t="shared" si="22"/>
        <v>VD車輛開發部</v>
      </c>
      <c r="V176" s="70" t="s">
        <v>238</v>
      </c>
      <c r="W176" s="70" t="s">
        <v>512</v>
      </c>
      <c r="X176" s="70" t="str">
        <f>V176</f>
        <v>開發費</v>
      </c>
      <c r="Y176" s="80">
        <v>0</v>
      </c>
      <c r="Z176" s="70" t="str">
        <f t="shared" si="21"/>
        <v>VD車輛開發部開發費</v>
      </c>
      <c r="AA176" s="253" t="str">
        <f t="shared" si="23"/>
        <v>無預算</v>
      </c>
    </row>
    <row r="177" spans="1:27" ht="13.8">
      <c r="A177" s="68"/>
      <c r="R177" s="68" t="s">
        <v>201</v>
      </c>
      <c r="S177" s="70" t="s">
        <v>202</v>
      </c>
      <c r="T177" s="70" t="s">
        <v>126</v>
      </c>
      <c r="U177" s="70" t="str">
        <f t="shared" si="22"/>
        <v>VD車輛開發部</v>
      </c>
      <c r="V177" s="70" t="s">
        <v>56</v>
      </c>
      <c r="W177" s="70" t="s">
        <v>513</v>
      </c>
      <c r="X177" s="70" t="s">
        <v>56</v>
      </c>
      <c r="Y177" s="80">
        <v>-532000</v>
      </c>
      <c r="Z177" s="70" t="str">
        <f t="shared" si="21"/>
        <v>VD車輛開發部勞務費</v>
      </c>
      <c r="AA177" s="253" t="str">
        <f t="shared" si="23"/>
        <v>115VDSE14</v>
      </c>
    </row>
    <row r="178" spans="1:27" ht="13.8">
      <c r="A178" s="68"/>
      <c r="R178" s="68" t="s">
        <v>201</v>
      </c>
      <c r="S178" s="70" t="s">
        <v>202</v>
      </c>
      <c r="T178" s="70" t="s">
        <v>126</v>
      </c>
      <c r="U178" s="70" t="str">
        <f t="shared" si="22"/>
        <v>VD車輛開發部</v>
      </c>
      <c r="V178" s="70" t="s">
        <v>255</v>
      </c>
      <c r="W178" s="70" t="s">
        <v>514</v>
      </c>
      <c r="X178" s="70" t="s">
        <v>255</v>
      </c>
      <c r="Y178" s="80">
        <v>-24000</v>
      </c>
      <c r="Z178" s="70" t="str">
        <f t="shared" si="21"/>
        <v>VD車輛開發部交通費</v>
      </c>
      <c r="AA178" s="253" t="str">
        <f t="shared" si="23"/>
        <v>115VDSE15</v>
      </c>
    </row>
    <row r="179" spans="1:27" ht="16.5" customHeight="1">
      <c r="R179" s="68" t="s">
        <v>201</v>
      </c>
      <c r="S179" s="70" t="s">
        <v>202</v>
      </c>
      <c r="T179" s="70" t="s">
        <v>126</v>
      </c>
      <c r="U179" s="70" t="str">
        <f t="shared" si="22"/>
        <v>VD車輛開發部</v>
      </c>
      <c r="V179" s="70" t="s">
        <v>262</v>
      </c>
      <c r="W179" s="70" t="s">
        <v>515</v>
      </c>
      <c r="X179" s="70" t="s">
        <v>262</v>
      </c>
      <c r="Y179" s="80">
        <v>0</v>
      </c>
      <c r="Z179" s="70" t="str">
        <f t="shared" si="21"/>
        <v>VD車輛開發部設備</v>
      </c>
      <c r="AA179" s="253" t="str">
        <f t="shared" si="23"/>
        <v>無預算</v>
      </c>
    </row>
    <row r="180" spans="1:27" ht="16.5" customHeight="1">
      <c r="R180" s="68" t="s">
        <v>201</v>
      </c>
      <c r="S180" s="70" t="s">
        <v>202</v>
      </c>
      <c r="T180" s="70" t="s">
        <v>126</v>
      </c>
      <c r="U180" s="70" t="str">
        <f t="shared" si="22"/>
        <v>VD車輛開發部</v>
      </c>
      <c r="V180" s="70" t="s">
        <v>270</v>
      </c>
      <c r="W180" s="70" t="s">
        <v>516</v>
      </c>
      <c r="X180" s="70" t="str">
        <f>V180</f>
        <v>雜項購置</v>
      </c>
      <c r="Y180" s="80">
        <v>-204000</v>
      </c>
      <c r="Z180" s="70" t="str">
        <f t="shared" si="21"/>
        <v>VD車輛開發部雜項購置</v>
      </c>
      <c r="AA180" s="253" t="str">
        <f t="shared" si="23"/>
        <v>115VDSE17</v>
      </c>
    </row>
    <row r="181" spans="1:27" ht="16.5" customHeight="1">
      <c r="R181" s="68" t="s">
        <v>201</v>
      </c>
      <c r="S181" s="70" t="s">
        <v>202</v>
      </c>
      <c r="T181" s="70" t="s">
        <v>126</v>
      </c>
      <c r="U181" s="70" t="str">
        <f t="shared" si="22"/>
        <v>VD車輛開發部</v>
      </c>
      <c r="V181" s="70" t="s">
        <v>276</v>
      </c>
      <c r="W181" s="70" t="s">
        <v>517</v>
      </c>
      <c r="X181" s="70" t="str">
        <f>V181</f>
        <v>退休金</v>
      </c>
      <c r="Y181" s="80">
        <v>-370248</v>
      </c>
      <c r="Z181" s="70" t="str">
        <f t="shared" si="21"/>
        <v>VD車輛開發部退休金</v>
      </c>
      <c r="AA181" s="253" t="str">
        <f t="shared" si="23"/>
        <v>115VDSE18</v>
      </c>
    </row>
    <row r="182" spans="1:27" ht="16.5" customHeight="1">
      <c r="R182" s="68" t="s">
        <v>201</v>
      </c>
      <c r="S182" s="70" t="s">
        <v>202</v>
      </c>
      <c r="T182" s="70" t="s">
        <v>126</v>
      </c>
      <c r="U182" s="70" t="str">
        <f t="shared" si="22"/>
        <v>VD車輛開發部</v>
      </c>
      <c r="V182" s="70" t="s">
        <v>283</v>
      </c>
      <c r="W182" s="70" t="s">
        <v>518</v>
      </c>
      <c r="X182" s="70" t="str">
        <f t="shared" ref="X182:X184" si="29">V182</f>
        <v>文具用品</v>
      </c>
      <c r="Y182" s="80">
        <v>0</v>
      </c>
      <c r="Z182" s="70" t="str">
        <f t="shared" si="21"/>
        <v>VD車輛開發部文具用品</v>
      </c>
      <c r="AA182" s="253" t="str">
        <f t="shared" si="23"/>
        <v>無預算</v>
      </c>
    </row>
    <row r="183" spans="1:27" ht="16.5" customHeight="1">
      <c r="R183" s="68" t="s">
        <v>201</v>
      </c>
      <c r="S183" s="70" t="s">
        <v>202</v>
      </c>
      <c r="T183" s="70" t="s">
        <v>126</v>
      </c>
      <c r="U183" s="70" t="str">
        <f t="shared" si="22"/>
        <v>VD車輛開發部</v>
      </c>
      <c r="V183" s="70" t="s">
        <v>288</v>
      </c>
      <c r="W183" s="70" t="s">
        <v>519</v>
      </c>
      <c r="X183" s="70" t="str">
        <f t="shared" si="29"/>
        <v>水電費</v>
      </c>
      <c r="Y183" s="80">
        <v>0</v>
      </c>
      <c r="Z183" s="70" t="str">
        <f t="shared" si="21"/>
        <v>VD車輛開發部水電費</v>
      </c>
      <c r="AA183" s="253" t="str">
        <f t="shared" si="23"/>
        <v>無預算</v>
      </c>
    </row>
    <row r="184" spans="1:27" ht="16.5" customHeight="1">
      <c r="R184" s="68" t="s">
        <v>201</v>
      </c>
      <c r="S184" s="70" t="s">
        <v>202</v>
      </c>
      <c r="T184" s="70" t="s">
        <v>126</v>
      </c>
      <c r="U184" s="70" t="str">
        <f t="shared" si="22"/>
        <v>VD車輛開發部</v>
      </c>
      <c r="V184" s="70" t="s">
        <v>293</v>
      </c>
      <c r="W184" s="70" t="s">
        <v>520</v>
      </c>
      <c r="X184" s="70" t="str">
        <f t="shared" si="29"/>
        <v>捐贈</v>
      </c>
      <c r="Y184" s="80">
        <v>0</v>
      </c>
      <c r="Z184" s="70" t="str">
        <f t="shared" si="21"/>
        <v>VD車輛開發部捐贈</v>
      </c>
      <c r="AA184" s="253" t="str">
        <f t="shared" si="23"/>
        <v>無預算</v>
      </c>
    </row>
    <row r="185" spans="1:27" ht="16.5" customHeight="1">
      <c r="R185" s="68" t="s">
        <v>201</v>
      </c>
      <c r="S185" s="70" t="s">
        <v>202</v>
      </c>
      <c r="T185" s="70" t="s">
        <v>126</v>
      </c>
      <c r="U185" s="70" t="str">
        <f t="shared" si="22"/>
        <v>VD車輛開發部</v>
      </c>
      <c r="V185" s="70" t="s">
        <v>298</v>
      </c>
      <c r="W185" s="70" t="s">
        <v>521</v>
      </c>
      <c r="X185" s="70" t="str">
        <f>V185</f>
        <v>銀行手續費</v>
      </c>
      <c r="Y185" s="80">
        <v>0</v>
      </c>
      <c r="Z185" s="70" t="str">
        <f t="shared" si="21"/>
        <v>VD車輛開發部銀行手續費</v>
      </c>
      <c r="AA185" s="253" t="str">
        <f t="shared" si="23"/>
        <v>無預算</v>
      </c>
    </row>
    <row r="186" spans="1:27" ht="16.5" customHeight="1">
      <c r="R186" s="68" t="s">
        <v>201</v>
      </c>
      <c r="S186" s="70" t="s">
        <v>202</v>
      </c>
      <c r="T186" s="70" t="s">
        <v>126</v>
      </c>
      <c r="U186" s="70" t="str">
        <f t="shared" si="22"/>
        <v>VD車輛開發部</v>
      </c>
      <c r="V186" s="70" t="s">
        <v>303</v>
      </c>
      <c r="W186" s="70" t="s">
        <v>522</v>
      </c>
      <c r="X186" s="70" t="str">
        <f>V186</f>
        <v>其他費用</v>
      </c>
      <c r="Y186" s="80">
        <v>-212000</v>
      </c>
      <c r="Z186" s="70" t="str">
        <f t="shared" si="21"/>
        <v>VD車輛開發部其他費用</v>
      </c>
      <c r="AA186" s="253" t="str">
        <f t="shared" si="23"/>
        <v>115VDSE99</v>
      </c>
    </row>
    <row r="187" spans="1:27" ht="16.5" customHeight="1">
      <c r="R187" s="68" t="s">
        <v>523</v>
      </c>
      <c r="S187" s="70" t="s">
        <v>524</v>
      </c>
      <c r="T187" s="70" t="s">
        <v>126</v>
      </c>
      <c r="U187" s="70" t="s">
        <v>525</v>
      </c>
      <c r="V187" s="70" t="s">
        <v>526</v>
      </c>
      <c r="W187" s="70" t="s">
        <v>527</v>
      </c>
      <c r="X187" s="70" t="s">
        <v>528</v>
      </c>
      <c r="Y187" s="80">
        <v>240000</v>
      </c>
      <c r="Z187" s="70" t="s">
        <v>529</v>
      </c>
      <c r="AA187" s="253" t="str">
        <f>IF(OR(X187="*旅費", X187="*折舊及攤銷"), "無預算", IF(AND(ISNUMBER(Y187), Y187&lt;&gt;0), W187, "無預算"))</f>
        <v>112BD003RP01</v>
      </c>
    </row>
    <row r="188" spans="1:27" ht="16.5" customHeight="1">
      <c r="R188" s="68" t="s">
        <v>523</v>
      </c>
      <c r="S188" s="70" t="s">
        <v>524</v>
      </c>
      <c r="T188" s="70" t="s">
        <v>126</v>
      </c>
      <c r="U188" s="70" t="s">
        <v>525</v>
      </c>
      <c r="V188" s="70" t="s">
        <v>530</v>
      </c>
      <c r="W188" s="70" t="s">
        <v>531</v>
      </c>
      <c r="X188" s="70" t="s">
        <v>318</v>
      </c>
      <c r="Y188" s="80">
        <v>0</v>
      </c>
      <c r="Z188" s="70" t="s">
        <v>532</v>
      </c>
      <c r="AA188" s="253" t="str">
        <f t="shared" ref="AA188:AA269" si="30">IF(OR(X188="*旅費", X188="*折舊及攤銷"), "無預算", IF(AND(ISNUMBER(Y188), Y188&lt;&gt;0), W188, "無預算"))</f>
        <v>無預算</v>
      </c>
    </row>
    <row r="189" spans="1:27" ht="16.5" customHeight="1">
      <c r="R189" s="68" t="s">
        <v>523</v>
      </c>
      <c r="S189" s="70" t="s">
        <v>209</v>
      </c>
      <c r="T189" s="70" t="s">
        <v>126</v>
      </c>
      <c r="U189" s="70" t="s">
        <v>525</v>
      </c>
      <c r="V189" s="70" t="s">
        <v>533</v>
      </c>
      <c r="W189" s="70" t="s">
        <v>534</v>
      </c>
      <c r="X189" s="70" t="s">
        <v>323</v>
      </c>
      <c r="Y189" s="80">
        <v>-8000</v>
      </c>
      <c r="Z189" s="70" t="s">
        <v>535</v>
      </c>
      <c r="AA189" s="253" t="str">
        <f t="shared" si="30"/>
        <v>112BD003SE91</v>
      </c>
    </row>
    <row r="190" spans="1:27" ht="16.5" customHeight="1">
      <c r="R190" s="68" t="s">
        <v>523</v>
      </c>
      <c r="S190" s="70" t="s">
        <v>209</v>
      </c>
      <c r="T190" s="70" t="s">
        <v>126</v>
      </c>
      <c r="U190" s="70" t="s">
        <v>525</v>
      </c>
      <c r="V190" s="70" t="s">
        <v>262</v>
      </c>
      <c r="W190" s="70" t="s">
        <v>536</v>
      </c>
      <c r="X190" s="70" t="s">
        <v>328</v>
      </c>
      <c r="Y190" s="80">
        <v>-100000</v>
      </c>
      <c r="Z190" s="70" t="s">
        <v>537</v>
      </c>
      <c r="AA190" s="253" t="str">
        <f t="shared" si="30"/>
        <v>112BD003SE16</v>
      </c>
    </row>
    <row r="191" spans="1:27" ht="16.5" customHeight="1">
      <c r="R191" s="68" t="s">
        <v>523</v>
      </c>
      <c r="S191" s="70" t="s">
        <v>209</v>
      </c>
      <c r="T191" s="70" t="s">
        <v>126</v>
      </c>
      <c r="U191" s="70" t="s">
        <v>525</v>
      </c>
      <c r="V191" s="70" t="s">
        <v>538</v>
      </c>
      <c r="W191" s="70" t="s">
        <v>539</v>
      </c>
      <c r="X191" s="70" t="s">
        <v>333</v>
      </c>
      <c r="Y191" s="80">
        <v>-60000</v>
      </c>
      <c r="Z191" s="70" t="s">
        <v>540</v>
      </c>
      <c r="AA191" s="253" t="str">
        <f t="shared" si="30"/>
        <v>112BD003SE17</v>
      </c>
    </row>
    <row r="192" spans="1:27" ht="16.5" customHeight="1">
      <c r="R192" s="68" t="s">
        <v>523</v>
      </c>
      <c r="S192" s="70" t="s">
        <v>209</v>
      </c>
      <c r="T192" s="70" t="s">
        <v>126</v>
      </c>
      <c r="U192" s="70" t="s">
        <v>525</v>
      </c>
      <c r="V192" s="70" t="s">
        <v>541</v>
      </c>
      <c r="W192" s="70" t="s">
        <v>542</v>
      </c>
      <c r="X192" s="70" t="s">
        <v>338</v>
      </c>
      <c r="Y192" s="80">
        <v>-100000</v>
      </c>
      <c r="Z192" s="70" t="s">
        <v>543</v>
      </c>
      <c r="AA192" s="253" t="str">
        <f t="shared" si="30"/>
        <v>112BD003SE14</v>
      </c>
    </row>
    <row r="193" spans="18:27" ht="16.5" customHeight="1">
      <c r="R193" s="68" t="s">
        <v>523</v>
      </c>
      <c r="S193" s="70" t="s">
        <v>524</v>
      </c>
      <c r="T193" s="70" t="s">
        <v>126</v>
      </c>
      <c r="U193" s="70" t="s">
        <v>525</v>
      </c>
      <c r="V193" s="70" t="s">
        <v>544</v>
      </c>
      <c r="W193" s="70" t="s">
        <v>545</v>
      </c>
      <c r="X193" s="70" t="s">
        <v>546</v>
      </c>
      <c r="Y193" s="80">
        <v>-40000</v>
      </c>
      <c r="Z193" s="70" t="s">
        <v>547</v>
      </c>
      <c r="AA193" s="253" t="str">
        <f t="shared" si="30"/>
        <v>無預算</v>
      </c>
    </row>
    <row r="194" spans="18:27" ht="16.5" customHeight="1">
      <c r="R194" s="68" t="s">
        <v>523</v>
      </c>
      <c r="S194" s="70" t="s">
        <v>209</v>
      </c>
      <c r="T194" s="70" t="s">
        <v>126</v>
      </c>
      <c r="U194" s="70" t="s">
        <v>525</v>
      </c>
      <c r="V194" s="70" t="s">
        <v>70</v>
      </c>
      <c r="W194" s="70" t="s">
        <v>548</v>
      </c>
      <c r="X194" s="70" t="s">
        <v>347</v>
      </c>
      <c r="Y194" s="80">
        <v>0</v>
      </c>
      <c r="Z194" s="70" t="s">
        <v>549</v>
      </c>
      <c r="AA194" s="253" t="str">
        <f t="shared" si="30"/>
        <v>無預算</v>
      </c>
    </row>
    <row r="195" spans="18:27" ht="16.5" customHeight="1">
      <c r="R195" s="68" t="s">
        <v>523</v>
      </c>
      <c r="S195" s="70" t="s">
        <v>209</v>
      </c>
      <c r="T195" s="70" t="s">
        <v>126</v>
      </c>
      <c r="U195" s="70" t="s">
        <v>525</v>
      </c>
      <c r="V195" s="70" t="s">
        <v>550</v>
      </c>
      <c r="W195" s="70" t="s">
        <v>551</v>
      </c>
      <c r="X195" s="70" t="s">
        <v>352</v>
      </c>
      <c r="Y195" s="80">
        <v>-12000</v>
      </c>
      <c r="Z195" s="70" t="s">
        <v>552</v>
      </c>
      <c r="AA195" s="253" t="str">
        <f t="shared" si="30"/>
        <v>112BD003SE99</v>
      </c>
    </row>
    <row r="196" spans="18:27" ht="16.5" customHeight="1">
      <c r="R196" s="68" t="s">
        <v>553</v>
      </c>
      <c r="S196" s="70" t="s">
        <v>554</v>
      </c>
      <c r="T196" s="70" t="s">
        <v>126</v>
      </c>
      <c r="U196" s="70" t="s">
        <v>525</v>
      </c>
      <c r="V196" s="70" t="s">
        <v>526</v>
      </c>
      <c r="W196" s="70" t="s">
        <v>555</v>
      </c>
      <c r="X196" s="70" t="s">
        <v>528</v>
      </c>
      <c r="Y196" s="80">
        <v>270000</v>
      </c>
      <c r="Z196" s="70" t="s">
        <v>556</v>
      </c>
      <c r="AA196" s="253" t="str">
        <f t="shared" si="30"/>
        <v>113BD005RP01</v>
      </c>
    </row>
    <row r="197" spans="18:27" ht="16.5" customHeight="1">
      <c r="R197" s="68" t="s">
        <v>553</v>
      </c>
      <c r="S197" s="70" t="s">
        <v>554</v>
      </c>
      <c r="T197" s="70" t="s">
        <v>126</v>
      </c>
      <c r="U197" s="70" t="s">
        <v>525</v>
      </c>
      <c r="V197" s="70" t="s">
        <v>530</v>
      </c>
      <c r="W197" s="70" t="s">
        <v>557</v>
      </c>
      <c r="X197" s="70" t="s">
        <v>318</v>
      </c>
      <c r="Y197" s="80">
        <v>-5000</v>
      </c>
      <c r="Z197" s="70" t="s">
        <v>558</v>
      </c>
      <c r="AA197" s="253" t="str">
        <f t="shared" si="30"/>
        <v>113BD005SE01</v>
      </c>
    </row>
    <row r="198" spans="18:27" ht="16.5" customHeight="1">
      <c r="R198" s="68" t="s">
        <v>553</v>
      </c>
      <c r="S198" s="70" t="s">
        <v>220</v>
      </c>
      <c r="T198" s="70" t="s">
        <v>126</v>
      </c>
      <c r="U198" s="70" t="s">
        <v>525</v>
      </c>
      <c r="V198" s="70" t="s">
        <v>533</v>
      </c>
      <c r="W198" s="70" t="s">
        <v>559</v>
      </c>
      <c r="X198" s="70" t="s">
        <v>323</v>
      </c>
      <c r="Y198" s="80">
        <v>-20000</v>
      </c>
      <c r="Z198" s="70" t="s">
        <v>560</v>
      </c>
      <c r="AA198" s="253" t="str">
        <f t="shared" si="30"/>
        <v>113BD005SE91</v>
      </c>
    </row>
    <row r="199" spans="18:27" ht="16.5" customHeight="1">
      <c r="R199" s="68" t="s">
        <v>553</v>
      </c>
      <c r="S199" s="70" t="s">
        <v>220</v>
      </c>
      <c r="T199" s="70" t="s">
        <v>126</v>
      </c>
      <c r="U199" s="70" t="s">
        <v>525</v>
      </c>
      <c r="V199" s="70" t="s">
        <v>262</v>
      </c>
      <c r="W199" s="70" t="s">
        <v>561</v>
      </c>
      <c r="X199" s="70" t="s">
        <v>328</v>
      </c>
      <c r="Y199" s="80">
        <v>-40000</v>
      </c>
      <c r="Z199" s="70" t="s">
        <v>562</v>
      </c>
      <c r="AA199" s="253" t="str">
        <f t="shared" si="30"/>
        <v>113BD005SE16</v>
      </c>
    </row>
    <row r="200" spans="18:27" ht="16.5" customHeight="1">
      <c r="R200" s="68" t="s">
        <v>553</v>
      </c>
      <c r="S200" s="70" t="s">
        <v>220</v>
      </c>
      <c r="T200" s="70" t="s">
        <v>126</v>
      </c>
      <c r="U200" s="70" t="s">
        <v>525</v>
      </c>
      <c r="V200" s="70" t="s">
        <v>538</v>
      </c>
      <c r="W200" s="70" t="s">
        <v>563</v>
      </c>
      <c r="X200" s="70" t="s">
        <v>333</v>
      </c>
      <c r="Y200" s="80">
        <v>0</v>
      </c>
      <c r="Z200" s="70" t="s">
        <v>564</v>
      </c>
      <c r="AA200" s="253" t="str">
        <f t="shared" si="30"/>
        <v>無預算</v>
      </c>
    </row>
    <row r="201" spans="18:27" ht="16.5" customHeight="1">
      <c r="R201" s="68" t="s">
        <v>553</v>
      </c>
      <c r="S201" s="70" t="s">
        <v>220</v>
      </c>
      <c r="T201" s="70" t="s">
        <v>126</v>
      </c>
      <c r="U201" s="70" t="s">
        <v>525</v>
      </c>
      <c r="V201" s="70" t="s">
        <v>541</v>
      </c>
      <c r="W201" s="70" t="s">
        <v>565</v>
      </c>
      <c r="X201" s="70" t="s">
        <v>338</v>
      </c>
      <c r="Y201" s="80">
        <v>-10000</v>
      </c>
      <c r="Z201" s="70" t="s">
        <v>566</v>
      </c>
      <c r="AA201" s="253" t="str">
        <f t="shared" si="30"/>
        <v>113BD005SE14</v>
      </c>
    </row>
    <row r="202" spans="18:27" ht="16.5" customHeight="1">
      <c r="R202" s="68" t="s">
        <v>553</v>
      </c>
      <c r="S202" s="70" t="s">
        <v>220</v>
      </c>
      <c r="T202" s="70" t="s">
        <v>126</v>
      </c>
      <c r="U202" s="70" t="s">
        <v>525</v>
      </c>
      <c r="V202" s="70" t="s">
        <v>544</v>
      </c>
      <c r="W202" s="70" t="s">
        <v>567</v>
      </c>
      <c r="X202" s="70" t="s">
        <v>546</v>
      </c>
      <c r="Y202" s="80">
        <v>-10000</v>
      </c>
      <c r="Z202" s="70" t="s">
        <v>568</v>
      </c>
      <c r="AA202" s="253" t="str">
        <f t="shared" si="30"/>
        <v>無預算</v>
      </c>
    </row>
    <row r="203" spans="18:27" ht="16.5" customHeight="1">
      <c r="R203" s="68" t="s">
        <v>553</v>
      </c>
      <c r="S203" s="70" t="s">
        <v>220</v>
      </c>
      <c r="T203" s="70" t="s">
        <v>126</v>
      </c>
      <c r="U203" s="70" t="s">
        <v>525</v>
      </c>
      <c r="V203" s="70" t="s">
        <v>70</v>
      </c>
      <c r="W203" s="70" t="s">
        <v>569</v>
      </c>
      <c r="X203" s="70" t="s">
        <v>347</v>
      </c>
      <c r="Y203" s="80">
        <v>0</v>
      </c>
      <c r="Z203" s="70" t="s">
        <v>570</v>
      </c>
      <c r="AA203" s="253" t="str">
        <f t="shared" si="30"/>
        <v>無預算</v>
      </c>
    </row>
    <row r="204" spans="18:27" ht="16.5" customHeight="1">
      <c r="R204" s="68" t="s">
        <v>553</v>
      </c>
      <c r="S204" s="70" t="s">
        <v>220</v>
      </c>
      <c r="T204" s="70" t="s">
        <v>126</v>
      </c>
      <c r="U204" s="70" t="s">
        <v>525</v>
      </c>
      <c r="V204" s="70" t="s">
        <v>550</v>
      </c>
      <c r="W204" s="70" t="s">
        <v>571</v>
      </c>
      <c r="X204" s="70" t="s">
        <v>352</v>
      </c>
      <c r="Y204" s="80">
        <v>0</v>
      </c>
      <c r="Z204" s="70" t="s">
        <v>572</v>
      </c>
      <c r="AA204" s="253" t="str">
        <f t="shared" si="30"/>
        <v>無預算</v>
      </c>
    </row>
    <row r="205" spans="18:27" ht="16.5" customHeight="1">
      <c r="R205" s="68" t="s">
        <v>573</v>
      </c>
      <c r="S205" s="70" t="s">
        <v>228</v>
      </c>
      <c r="T205" s="70" t="s">
        <v>126</v>
      </c>
      <c r="U205" s="70" t="s">
        <v>525</v>
      </c>
      <c r="V205" s="70" t="s">
        <v>526</v>
      </c>
      <c r="W205" s="70" t="s">
        <v>574</v>
      </c>
      <c r="X205" s="70" t="s">
        <v>528</v>
      </c>
      <c r="Y205" s="80">
        <v>4082925</v>
      </c>
      <c r="Z205" s="70" t="s">
        <v>575</v>
      </c>
      <c r="AA205" s="253" t="str">
        <f t="shared" si="30"/>
        <v>114BD012RP01</v>
      </c>
    </row>
    <row r="206" spans="18:27" ht="16.5" customHeight="1">
      <c r="R206" s="68" t="s">
        <v>573</v>
      </c>
      <c r="S206" s="70" t="s">
        <v>228</v>
      </c>
      <c r="T206" s="70" t="s">
        <v>126</v>
      </c>
      <c r="U206" s="70" t="s">
        <v>525</v>
      </c>
      <c r="V206" s="70" t="s">
        <v>530</v>
      </c>
      <c r="W206" s="70" t="s">
        <v>576</v>
      </c>
      <c r="X206" s="70" t="s">
        <v>318</v>
      </c>
      <c r="Y206" s="80">
        <v>0</v>
      </c>
      <c r="Z206" s="70" t="s">
        <v>577</v>
      </c>
      <c r="AA206" s="253" t="str">
        <f t="shared" si="30"/>
        <v>無預算</v>
      </c>
    </row>
    <row r="207" spans="18:27" ht="16.5" customHeight="1">
      <c r="R207" s="68" t="s">
        <v>573</v>
      </c>
      <c r="S207" s="70" t="s">
        <v>228</v>
      </c>
      <c r="T207" s="70" t="s">
        <v>126</v>
      </c>
      <c r="U207" s="70" t="s">
        <v>525</v>
      </c>
      <c r="V207" s="70" t="s">
        <v>533</v>
      </c>
      <c r="W207" s="70" t="s">
        <v>578</v>
      </c>
      <c r="X207" s="70" t="s">
        <v>323</v>
      </c>
      <c r="Y207" s="80">
        <v>0</v>
      </c>
      <c r="Z207" s="70" t="s">
        <v>579</v>
      </c>
      <c r="AA207" s="253" t="str">
        <f t="shared" si="30"/>
        <v>無預算</v>
      </c>
    </row>
    <row r="208" spans="18:27" ht="16.5" customHeight="1">
      <c r="R208" s="68" t="s">
        <v>573</v>
      </c>
      <c r="S208" s="70" t="s">
        <v>228</v>
      </c>
      <c r="T208" s="70" t="s">
        <v>126</v>
      </c>
      <c r="U208" s="70" t="s">
        <v>525</v>
      </c>
      <c r="V208" s="70" t="s">
        <v>262</v>
      </c>
      <c r="W208" s="70" t="s">
        <v>580</v>
      </c>
      <c r="X208" s="70" t="s">
        <v>328</v>
      </c>
      <c r="Y208" s="80">
        <v>0</v>
      </c>
      <c r="Z208" s="70" t="s">
        <v>581</v>
      </c>
      <c r="AA208" s="253" t="str">
        <f t="shared" si="30"/>
        <v>無預算</v>
      </c>
    </row>
    <row r="209" spans="18:27" ht="16.5" customHeight="1">
      <c r="R209" s="68" t="s">
        <v>573</v>
      </c>
      <c r="S209" s="70" t="s">
        <v>228</v>
      </c>
      <c r="T209" s="70" t="s">
        <v>126</v>
      </c>
      <c r="U209" s="70" t="s">
        <v>525</v>
      </c>
      <c r="V209" s="70" t="s">
        <v>538</v>
      </c>
      <c r="W209" s="70" t="s">
        <v>582</v>
      </c>
      <c r="X209" s="70" t="s">
        <v>333</v>
      </c>
      <c r="Y209" s="80">
        <v>-30000</v>
      </c>
      <c r="Z209" s="70" t="s">
        <v>583</v>
      </c>
      <c r="AA209" s="253" t="str">
        <f t="shared" si="30"/>
        <v>114BD012SE17</v>
      </c>
    </row>
    <row r="210" spans="18:27" ht="16.5" customHeight="1">
      <c r="R210" s="68" t="s">
        <v>573</v>
      </c>
      <c r="S210" s="70" t="s">
        <v>228</v>
      </c>
      <c r="T210" s="70" t="s">
        <v>126</v>
      </c>
      <c r="U210" s="70" t="s">
        <v>525</v>
      </c>
      <c r="V210" s="70" t="s">
        <v>541</v>
      </c>
      <c r="W210" s="70" t="s">
        <v>584</v>
      </c>
      <c r="X210" s="70" t="s">
        <v>338</v>
      </c>
      <c r="Y210" s="80">
        <v>-200000</v>
      </c>
      <c r="Z210" s="70" t="s">
        <v>585</v>
      </c>
      <c r="AA210" s="253" t="str">
        <f t="shared" si="30"/>
        <v>114BD012SE14</v>
      </c>
    </row>
    <row r="211" spans="18:27" ht="16.5" customHeight="1">
      <c r="R211" s="68" t="s">
        <v>573</v>
      </c>
      <c r="S211" s="70" t="s">
        <v>228</v>
      </c>
      <c r="T211" s="70" t="s">
        <v>126</v>
      </c>
      <c r="U211" s="70" t="s">
        <v>525</v>
      </c>
      <c r="V211" s="70" t="s">
        <v>544</v>
      </c>
      <c r="W211" s="70" t="s">
        <v>586</v>
      </c>
      <c r="X211" s="70" t="s">
        <v>546</v>
      </c>
      <c r="Y211" s="80">
        <v>-470000</v>
      </c>
      <c r="Z211" s="70" t="s">
        <v>587</v>
      </c>
      <c r="AA211" s="253" t="str">
        <f t="shared" si="30"/>
        <v>無預算</v>
      </c>
    </row>
    <row r="212" spans="18:27" ht="16.5" customHeight="1">
      <c r="R212" s="68" t="s">
        <v>573</v>
      </c>
      <c r="S212" s="70" t="s">
        <v>228</v>
      </c>
      <c r="T212" s="70" t="s">
        <v>126</v>
      </c>
      <c r="U212" s="70" t="s">
        <v>525</v>
      </c>
      <c r="V212" s="70" t="s">
        <v>70</v>
      </c>
      <c r="W212" s="70" t="s">
        <v>588</v>
      </c>
      <c r="X212" s="70" t="s">
        <v>347</v>
      </c>
      <c r="Y212" s="80">
        <v>0</v>
      </c>
      <c r="Z212" s="70" t="s">
        <v>589</v>
      </c>
      <c r="AA212" s="253" t="str">
        <f t="shared" si="30"/>
        <v>無預算</v>
      </c>
    </row>
    <row r="213" spans="18:27" ht="16.5" customHeight="1">
      <c r="R213" s="68" t="s">
        <v>573</v>
      </c>
      <c r="S213" s="70" t="s">
        <v>228</v>
      </c>
      <c r="T213" s="70" t="s">
        <v>126</v>
      </c>
      <c r="U213" s="70" t="s">
        <v>525</v>
      </c>
      <c r="V213" s="70" t="s">
        <v>550</v>
      </c>
      <c r="W213" s="70" t="s">
        <v>590</v>
      </c>
      <c r="X213" s="70" t="s">
        <v>352</v>
      </c>
      <c r="Y213" s="80">
        <v>-40000</v>
      </c>
      <c r="Z213" s="70" t="s">
        <v>591</v>
      </c>
      <c r="AA213" s="253" t="str">
        <f t="shared" si="30"/>
        <v>114BD012SE99</v>
      </c>
    </row>
    <row r="214" spans="18:27" ht="16.5" customHeight="1">
      <c r="R214" s="68" t="s">
        <v>592</v>
      </c>
      <c r="S214" s="70" t="s">
        <v>593</v>
      </c>
      <c r="T214" s="70" t="s">
        <v>126</v>
      </c>
      <c r="U214" s="70" t="s">
        <v>525</v>
      </c>
      <c r="V214" s="70" t="s">
        <v>526</v>
      </c>
      <c r="W214" s="70" t="s">
        <v>594</v>
      </c>
      <c r="X214" s="70" t="s">
        <v>528</v>
      </c>
      <c r="Y214" s="80">
        <v>349000</v>
      </c>
      <c r="Z214" s="70" t="s">
        <v>595</v>
      </c>
      <c r="AA214" s="253" t="str">
        <f t="shared" si="30"/>
        <v>114BD014RP01</v>
      </c>
    </row>
    <row r="215" spans="18:27" ht="16.5" customHeight="1">
      <c r="R215" s="68" t="s">
        <v>592</v>
      </c>
      <c r="S215" s="70" t="s">
        <v>593</v>
      </c>
      <c r="T215" s="70" t="s">
        <v>126</v>
      </c>
      <c r="U215" s="70" t="s">
        <v>525</v>
      </c>
      <c r="V215" s="70" t="s">
        <v>530</v>
      </c>
      <c r="W215" s="70" t="s">
        <v>596</v>
      </c>
      <c r="X215" s="70" t="s">
        <v>318</v>
      </c>
      <c r="Y215" s="80">
        <v>0</v>
      </c>
      <c r="Z215" s="70" t="s">
        <v>597</v>
      </c>
      <c r="AA215" s="253" t="str">
        <f t="shared" si="30"/>
        <v>無預算</v>
      </c>
    </row>
    <row r="216" spans="18:27" ht="16.5" customHeight="1">
      <c r="R216" s="68" t="s">
        <v>592</v>
      </c>
      <c r="S216" s="70" t="s">
        <v>593</v>
      </c>
      <c r="T216" s="70" t="s">
        <v>126</v>
      </c>
      <c r="U216" s="70" t="s">
        <v>525</v>
      </c>
      <c r="V216" s="70" t="s">
        <v>533</v>
      </c>
      <c r="W216" s="70" t="s">
        <v>598</v>
      </c>
      <c r="X216" s="70" t="s">
        <v>323</v>
      </c>
      <c r="Y216" s="80">
        <v>-10000</v>
      </c>
      <c r="Z216" s="70" t="s">
        <v>599</v>
      </c>
      <c r="AA216" s="253" t="str">
        <f t="shared" si="30"/>
        <v>114BD014SE91</v>
      </c>
    </row>
    <row r="217" spans="18:27" ht="16.5" customHeight="1">
      <c r="R217" s="68" t="s">
        <v>592</v>
      </c>
      <c r="S217" s="70" t="s">
        <v>593</v>
      </c>
      <c r="T217" s="70" t="s">
        <v>126</v>
      </c>
      <c r="U217" s="70" t="s">
        <v>525</v>
      </c>
      <c r="V217" s="70" t="s">
        <v>262</v>
      </c>
      <c r="W217" s="70" t="s">
        <v>600</v>
      </c>
      <c r="X217" s="70" t="s">
        <v>328</v>
      </c>
      <c r="Y217" s="80">
        <v>-50000</v>
      </c>
      <c r="Z217" s="70" t="s">
        <v>601</v>
      </c>
      <c r="AA217" s="253" t="str">
        <f t="shared" si="30"/>
        <v>114BD014SE16</v>
      </c>
    </row>
    <row r="218" spans="18:27" ht="16.5" customHeight="1">
      <c r="R218" s="68" t="s">
        <v>592</v>
      </c>
      <c r="S218" s="70" t="s">
        <v>593</v>
      </c>
      <c r="T218" s="70" t="s">
        <v>126</v>
      </c>
      <c r="U218" s="70" t="s">
        <v>525</v>
      </c>
      <c r="V218" s="70" t="s">
        <v>538</v>
      </c>
      <c r="W218" s="70" t="s">
        <v>602</v>
      </c>
      <c r="X218" s="70" t="s">
        <v>333</v>
      </c>
      <c r="Y218" s="80">
        <v>0</v>
      </c>
      <c r="Z218" s="70" t="s">
        <v>603</v>
      </c>
      <c r="AA218" s="253" t="str">
        <f t="shared" si="30"/>
        <v>無預算</v>
      </c>
    </row>
    <row r="219" spans="18:27" ht="16.5" customHeight="1">
      <c r="R219" s="68" t="s">
        <v>592</v>
      </c>
      <c r="S219" s="70" t="s">
        <v>593</v>
      </c>
      <c r="T219" s="70" t="s">
        <v>126</v>
      </c>
      <c r="U219" s="70" t="s">
        <v>525</v>
      </c>
      <c r="V219" s="70" t="s">
        <v>541</v>
      </c>
      <c r="W219" s="70" t="s">
        <v>604</v>
      </c>
      <c r="X219" s="70" t="s">
        <v>338</v>
      </c>
      <c r="Y219" s="80">
        <v>-10000</v>
      </c>
      <c r="Z219" s="70" t="s">
        <v>605</v>
      </c>
      <c r="AA219" s="253" t="str">
        <f t="shared" si="30"/>
        <v>114BD014SE14</v>
      </c>
    </row>
    <row r="220" spans="18:27" ht="16.5" customHeight="1">
      <c r="R220" s="68" t="s">
        <v>592</v>
      </c>
      <c r="S220" s="70" t="s">
        <v>593</v>
      </c>
      <c r="T220" s="70" t="s">
        <v>126</v>
      </c>
      <c r="U220" s="70" t="s">
        <v>525</v>
      </c>
      <c r="V220" s="70" t="s">
        <v>544</v>
      </c>
      <c r="W220" s="70" t="s">
        <v>606</v>
      </c>
      <c r="X220" s="70" t="s">
        <v>546</v>
      </c>
      <c r="Y220" s="80">
        <v>-10000</v>
      </c>
      <c r="Z220" s="70" t="s">
        <v>607</v>
      </c>
      <c r="AA220" s="253" t="str">
        <f t="shared" si="30"/>
        <v>無預算</v>
      </c>
    </row>
    <row r="221" spans="18:27" ht="16.5" customHeight="1">
      <c r="R221" s="68" t="s">
        <v>592</v>
      </c>
      <c r="S221" s="70" t="s">
        <v>593</v>
      </c>
      <c r="T221" s="70" t="s">
        <v>126</v>
      </c>
      <c r="U221" s="70" t="s">
        <v>525</v>
      </c>
      <c r="V221" s="70" t="s">
        <v>70</v>
      </c>
      <c r="W221" s="70" t="s">
        <v>608</v>
      </c>
      <c r="X221" s="70" t="s">
        <v>347</v>
      </c>
      <c r="Y221" s="80">
        <v>-30000</v>
      </c>
      <c r="Z221" s="70" t="s">
        <v>609</v>
      </c>
      <c r="AA221" s="253" t="str">
        <f t="shared" si="30"/>
        <v>114BD014SE04</v>
      </c>
    </row>
    <row r="222" spans="18:27" ht="16.5" customHeight="1">
      <c r="R222" s="68" t="s">
        <v>592</v>
      </c>
      <c r="S222" s="70" t="s">
        <v>593</v>
      </c>
      <c r="T222" s="70" t="s">
        <v>126</v>
      </c>
      <c r="U222" s="70" t="s">
        <v>525</v>
      </c>
      <c r="V222" s="70" t="s">
        <v>550</v>
      </c>
      <c r="W222" s="70" t="s">
        <v>610</v>
      </c>
      <c r="X222" s="70" t="s">
        <v>352</v>
      </c>
      <c r="Y222" s="80">
        <v>0</v>
      </c>
      <c r="Z222" s="70" t="s">
        <v>611</v>
      </c>
      <c r="AA222" s="253" t="str">
        <f t="shared" si="30"/>
        <v>無預算</v>
      </c>
    </row>
    <row r="223" spans="18:27" ht="16.5" customHeight="1">
      <c r="R223" s="68" t="s">
        <v>612</v>
      </c>
      <c r="S223" s="70" t="s">
        <v>613</v>
      </c>
      <c r="T223" s="70" t="s">
        <v>126</v>
      </c>
      <c r="U223" s="70" t="s">
        <v>525</v>
      </c>
      <c r="V223" s="70" t="s">
        <v>526</v>
      </c>
      <c r="W223" s="70" t="s">
        <v>614</v>
      </c>
      <c r="X223" s="70" t="s">
        <v>528</v>
      </c>
      <c r="Y223" s="80">
        <v>450000</v>
      </c>
      <c r="Z223" s="70" t="s">
        <v>615</v>
      </c>
      <c r="AA223" s="253" t="str">
        <f t="shared" si="30"/>
        <v>115BD001RP01</v>
      </c>
    </row>
    <row r="224" spans="18:27" ht="16.5" customHeight="1">
      <c r="R224" s="68" t="s">
        <v>612</v>
      </c>
      <c r="S224" s="70" t="s">
        <v>613</v>
      </c>
      <c r="T224" s="70" t="s">
        <v>126</v>
      </c>
      <c r="U224" s="70" t="s">
        <v>525</v>
      </c>
      <c r="V224" s="70" t="s">
        <v>530</v>
      </c>
      <c r="W224" s="70" t="s">
        <v>616</v>
      </c>
      <c r="X224" s="70" t="s">
        <v>318</v>
      </c>
      <c r="Y224" s="80">
        <v>0</v>
      </c>
      <c r="Z224" s="70" t="s">
        <v>617</v>
      </c>
      <c r="AA224" s="253" t="str">
        <f t="shared" si="30"/>
        <v>無預算</v>
      </c>
    </row>
    <row r="225" spans="18:27" ht="16.5" customHeight="1">
      <c r="R225" s="68" t="s">
        <v>612</v>
      </c>
      <c r="S225" s="70" t="s">
        <v>613</v>
      </c>
      <c r="T225" s="70" t="s">
        <v>126</v>
      </c>
      <c r="U225" s="70" t="s">
        <v>525</v>
      </c>
      <c r="V225" s="70" t="s">
        <v>533</v>
      </c>
      <c r="W225" s="70" t="s">
        <v>618</v>
      </c>
      <c r="X225" s="70" t="s">
        <v>323</v>
      </c>
      <c r="Y225" s="80">
        <v>-30000</v>
      </c>
      <c r="Z225" s="70" t="s">
        <v>619</v>
      </c>
      <c r="AA225" s="253" t="str">
        <f t="shared" si="30"/>
        <v>115BD001SE91</v>
      </c>
    </row>
    <row r="226" spans="18:27" ht="16.5" customHeight="1">
      <c r="R226" s="68" t="s">
        <v>612</v>
      </c>
      <c r="S226" s="70" t="s">
        <v>613</v>
      </c>
      <c r="T226" s="70" t="s">
        <v>126</v>
      </c>
      <c r="U226" s="70" t="s">
        <v>525</v>
      </c>
      <c r="V226" s="70" t="s">
        <v>262</v>
      </c>
      <c r="W226" s="70" t="s">
        <v>620</v>
      </c>
      <c r="X226" s="70" t="s">
        <v>328</v>
      </c>
      <c r="Y226" s="80">
        <v>-420000</v>
      </c>
      <c r="Z226" s="70" t="s">
        <v>621</v>
      </c>
      <c r="AA226" s="253" t="str">
        <f t="shared" si="30"/>
        <v>115BD001SE16</v>
      </c>
    </row>
    <row r="227" spans="18:27" ht="16.5" customHeight="1">
      <c r="R227" s="68" t="s">
        <v>612</v>
      </c>
      <c r="S227" s="70" t="s">
        <v>613</v>
      </c>
      <c r="T227" s="70" t="s">
        <v>126</v>
      </c>
      <c r="U227" s="70" t="s">
        <v>525</v>
      </c>
      <c r="V227" s="70" t="s">
        <v>538</v>
      </c>
      <c r="W227" s="70" t="s">
        <v>622</v>
      </c>
      <c r="X227" s="70" t="s">
        <v>333</v>
      </c>
      <c r="Y227" s="80">
        <v>0</v>
      </c>
      <c r="Z227" s="70" t="s">
        <v>623</v>
      </c>
      <c r="AA227" s="253" t="str">
        <f t="shared" si="30"/>
        <v>無預算</v>
      </c>
    </row>
    <row r="228" spans="18:27" ht="16.5" customHeight="1">
      <c r="R228" s="68" t="s">
        <v>612</v>
      </c>
      <c r="S228" s="70" t="s">
        <v>613</v>
      </c>
      <c r="T228" s="70" t="s">
        <v>126</v>
      </c>
      <c r="U228" s="70" t="s">
        <v>525</v>
      </c>
      <c r="V228" s="70" t="s">
        <v>541</v>
      </c>
      <c r="W228" s="70" t="s">
        <v>624</v>
      </c>
      <c r="X228" s="70" t="s">
        <v>338</v>
      </c>
      <c r="Y228" s="80">
        <v>0</v>
      </c>
      <c r="Z228" s="70" t="s">
        <v>625</v>
      </c>
      <c r="AA228" s="253" t="str">
        <f t="shared" si="30"/>
        <v>無預算</v>
      </c>
    </row>
    <row r="229" spans="18:27" ht="16.5" customHeight="1">
      <c r="R229" s="68" t="s">
        <v>612</v>
      </c>
      <c r="S229" s="70" t="s">
        <v>613</v>
      </c>
      <c r="T229" s="70" t="s">
        <v>126</v>
      </c>
      <c r="U229" s="70" t="s">
        <v>525</v>
      </c>
      <c r="V229" s="70" t="s">
        <v>544</v>
      </c>
      <c r="W229" s="70" t="s">
        <v>626</v>
      </c>
      <c r="X229" s="70" t="s">
        <v>546</v>
      </c>
      <c r="Y229" s="80">
        <v>0</v>
      </c>
      <c r="Z229" s="70" t="s">
        <v>627</v>
      </c>
      <c r="AA229" s="253" t="str">
        <f t="shared" si="30"/>
        <v>無預算</v>
      </c>
    </row>
    <row r="230" spans="18:27" ht="16.5" customHeight="1">
      <c r="R230" s="68" t="s">
        <v>612</v>
      </c>
      <c r="S230" s="70" t="s">
        <v>613</v>
      </c>
      <c r="T230" s="70" t="s">
        <v>126</v>
      </c>
      <c r="U230" s="70" t="s">
        <v>525</v>
      </c>
      <c r="V230" s="70" t="s">
        <v>70</v>
      </c>
      <c r="W230" s="70" t="s">
        <v>628</v>
      </c>
      <c r="X230" s="70" t="s">
        <v>347</v>
      </c>
      <c r="Y230" s="80">
        <v>-3000</v>
      </c>
      <c r="Z230" s="70" t="s">
        <v>629</v>
      </c>
      <c r="AA230" s="253" t="str">
        <f t="shared" si="30"/>
        <v>115BD001SE04</v>
      </c>
    </row>
    <row r="231" spans="18:27" ht="16.5" customHeight="1">
      <c r="R231" s="68" t="s">
        <v>612</v>
      </c>
      <c r="S231" s="70" t="s">
        <v>613</v>
      </c>
      <c r="T231" s="70" t="s">
        <v>126</v>
      </c>
      <c r="U231" s="70" t="s">
        <v>525</v>
      </c>
      <c r="V231" s="70" t="s">
        <v>550</v>
      </c>
      <c r="W231" s="70" t="s">
        <v>630</v>
      </c>
      <c r="X231" s="70" t="s">
        <v>352</v>
      </c>
      <c r="Y231" s="80">
        <v>0</v>
      </c>
      <c r="Z231" s="70" t="s">
        <v>631</v>
      </c>
      <c r="AA231" s="253" t="str">
        <f t="shared" si="30"/>
        <v>無預算</v>
      </c>
    </row>
    <row r="232" spans="18:27" ht="16.5" customHeight="1">
      <c r="R232" s="68" t="s">
        <v>632</v>
      </c>
      <c r="S232" s="70" t="s">
        <v>633</v>
      </c>
      <c r="T232" s="70" t="s">
        <v>126</v>
      </c>
      <c r="U232" s="70" t="s">
        <v>525</v>
      </c>
      <c r="V232" s="70" t="s">
        <v>526</v>
      </c>
      <c r="W232" s="70" t="s">
        <v>634</v>
      </c>
      <c r="X232" s="70" t="s">
        <v>528</v>
      </c>
      <c r="Y232" s="80">
        <v>213444.16</v>
      </c>
      <c r="Z232" s="70" t="str">
        <f>S232&amp;R232&amp;X232</f>
        <v>115BD002NSC: remote support*專案營收</v>
      </c>
      <c r="AA232" s="253" t="str">
        <f t="shared" si="30"/>
        <v>115BD002RP01</v>
      </c>
    </row>
    <row r="233" spans="18:27" ht="16.5" customHeight="1">
      <c r="R233" s="68" t="s">
        <v>632</v>
      </c>
      <c r="S233" s="70" t="s">
        <v>633</v>
      </c>
      <c r="T233" s="70" t="s">
        <v>126</v>
      </c>
      <c r="U233" s="70" t="s">
        <v>525</v>
      </c>
      <c r="V233" s="70" t="s">
        <v>530</v>
      </c>
      <c r="W233" s="70" t="s">
        <v>635</v>
      </c>
      <c r="X233" s="70" t="s">
        <v>318</v>
      </c>
      <c r="Y233" s="80">
        <v>0</v>
      </c>
      <c r="Z233" s="70" t="str">
        <f t="shared" ref="Z233:Z249" si="31">S233&amp;R233&amp;X233</f>
        <v>115BD002NSC: remote support*臨時人力</v>
      </c>
      <c r="AA233" s="253" t="str">
        <f t="shared" si="30"/>
        <v>無預算</v>
      </c>
    </row>
    <row r="234" spans="18:27" ht="16.5" customHeight="1">
      <c r="R234" s="68" t="s">
        <v>632</v>
      </c>
      <c r="S234" s="70" t="s">
        <v>633</v>
      </c>
      <c r="T234" s="70" t="s">
        <v>126</v>
      </c>
      <c r="U234" s="70" t="s">
        <v>525</v>
      </c>
      <c r="V234" s="70" t="s">
        <v>533</v>
      </c>
      <c r="W234" s="70" t="s">
        <v>636</v>
      </c>
      <c r="X234" s="70" t="s">
        <v>323</v>
      </c>
      <c r="Y234" s="80">
        <v>0</v>
      </c>
      <c r="Z234" s="70" t="str">
        <f t="shared" si="31"/>
        <v>115BD002NSC: remote support*材料</v>
      </c>
      <c r="AA234" s="253" t="str">
        <f t="shared" si="30"/>
        <v>無預算</v>
      </c>
    </row>
    <row r="235" spans="18:27" ht="16.5" customHeight="1">
      <c r="R235" s="68" t="s">
        <v>632</v>
      </c>
      <c r="S235" s="70" t="s">
        <v>633</v>
      </c>
      <c r="T235" s="70" t="s">
        <v>126</v>
      </c>
      <c r="U235" s="70" t="s">
        <v>525</v>
      </c>
      <c r="V235" s="70" t="s">
        <v>262</v>
      </c>
      <c r="W235" s="70" t="s">
        <v>637</v>
      </c>
      <c r="X235" s="70" t="s">
        <v>328</v>
      </c>
      <c r="Y235" s="80">
        <v>0</v>
      </c>
      <c r="Z235" s="70" t="str">
        <f t="shared" si="31"/>
        <v>115BD002NSC: remote support*設備</v>
      </c>
      <c r="AA235" s="253" t="str">
        <f t="shared" si="30"/>
        <v>無預算</v>
      </c>
    </row>
    <row r="236" spans="18:27" ht="16.5" customHeight="1">
      <c r="R236" s="68" t="s">
        <v>632</v>
      </c>
      <c r="S236" s="70" t="s">
        <v>633</v>
      </c>
      <c r="T236" s="70" t="s">
        <v>126</v>
      </c>
      <c r="U236" s="70" t="s">
        <v>525</v>
      </c>
      <c r="V236" s="70" t="s">
        <v>538</v>
      </c>
      <c r="W236" s="70" t="s">
        <v>638</v>
      </c>
      <c r="X236" s="70" t="s">
        <v>333</v>
      </c>
      <c r="Y236" s="80">
        <v>0</v>
      </c>
      <c r="Z236" s="70" t="str">
        <f t="shared" si="31"/>
        <v>115BD002NSC: remote support*雜項購置</v>
      </c>
      <c r="AA236" s="253" t="str">
        <f t="shared" si="30"/>
        <v>無預算</v>
      </c>
    </row>
    <row r="237" spans="18:27" ht="16.5" customHeight="1">
      <c r="R237" s="68" t="s">
        <v>632</v>
      </c>
      <c r="S237" s="70" t="s">
        <v>633</v>
      </c>
      <c r="T237" s="70" t="s">
        <v>126</v>
      </c>
      <c r="U237" s="70" t="s">
        <v>525</v>
      </c>
      <c r="V237" s="70" t="s">
        <v>541</v>
      </c>
      <c r="W237" s="70" t="s">
        <v>639</v>
      </c>
      <c r="X237" s="70" t="s">
        <v>338</v>
      </c>
      <c r="Y237" s="80">
        <v>-33600</v>
      </c>
      <c r="Z237" s="70" t="str">
        <f t="shared" si="31"/>
        <v>115BD002NSC: remote support*委外</v>
      </c>
      <c r="AA237" s="253" t="str">
        <f t="shared" si="30"/>
        <v>115BD002SE14</v>
      </c>
    </row>
    <row r="238" spans="18:27" ht="16.5" customHeight="1">
      <c r="R238" s="68" t="s">
        <v>632</v>
      </c>
      <c r="S238" s="70" t="s">
        <v>633</v>
      </c>
      <c r="T238" s="70" t="s">
        <v>126</v>
      </c>
      <c r="U238" s="70" t="s">
        <v>525</v>
      </c>
      <c r="V238" s="70" t="s">
        <v>544</v>
      </c>
      <c r="W238" s="70" t="s">
        <v>640</v>
      </c>
      <c r="X238" s="70" t="s">
        <v>546</v>
      </c>
      <c r="Y238" s="80">
        <v>0</v>
      </c>
      <c r="Z238" s="70" t="str">
        <f t="shared" si="31"/>
        <v>115BD002NSC: remote support*旅費</v>
      </c>
      <c r="AA238" s="253" t="str">
        <f t="shared" si="30"/>
        <v>無預算</v>
      </c>
    </row>
    <row r="239" spans="18:27" ht="16.5" customHeight="1">
      <c r="R239" s="68" t="s">
        <v>632</v>
      </c>
      <c r="S239" s="70" t="s">
        <v>633</v>
      </c>
      <c r="T239" s="70" t="s">
        <v>126</v>
      </c>
      <c r="U239" s="70" t="s">
        <v>525</v>
      </c>
      <c r="V239" s="70" t="s">
        <v>70</v>
      </c>
      <c r="W239" s="70" t="s">
        <v>641</v>
      </c>
      <c r="X239" s="70" t="s">
        <v>347</v>
      </c>
      <c r="Y239" s="80">
        <v>0</v>
      </c>
      <c r="Z239" s="70" t="str">
        <f t="shared" si="31"/>
        <v>115BD002NSC: remote support*運費</v>
      </c>
      <c r="AA239" s="253" t="str">
        <f t="shared" si="30"/>
        <v>無預算</v>
      </c>
    </row>
    <row r="240" spans="18:27" ht="16.5" customHeight="1">
      <c r="R240" s="68" t="s">
        <v>632</v>
      </c>
      <c r="S240" s="70" t="s">
        <v>633</v>
      </c>
      <c r="T240" s="70" t="s">
        <v>126</v>
      </c>
      <c r="U240" s="70" t="s">
        <v>525</v>
      </c>
      <c r="V240" s="70" t="s">
        <v>550</v>
      </c>
      <c r="W240" s="70" t="s">
        <v>642</v>
      </c>
      <c r="X240" s="70" t="s">
        <v>352</v>
      </c>
      <c r="Y240" s="80">
        <v>0</v>
      </c>
      <c r="Z240" s="70" t="str">
        <f t="shared" si="31"/>
        <v>115BD002NSC: remote support*雜費</v>
      </c>
      <c r="AA240" s="253" t="str">
        <f t="shared" si="30"/>
        <v>無預算</v>
      </c>
    </row>
    <row r="241" spans="18:27" ht="16.5" customHeight="1">
      <c r="R241" s="68" t="s">
        <v>643</v>
      </c>
      <c r="S241" s="70" t="s">
        <v>644</v>
      </c>
      <c r="T241" s="70" t="s">
        <v>126</v>
      </c>
      <c r="U241" s="70" t="s">
        <v>525</v>
      </c>
      <c r="V241" s="70" t="s">
        <v>526</v>
      </c>
      <c r="W241" s="70" t="s">
        <v>645</v>
      </c>
      <c r="X241" s="70" t="s">
        <v>528</v>
      </c>
      <c r="Y241" s="80">
        <v>0</v>
      </c>
      <c r="Z241" s="70" t="str">
        <f t="shared" si="31"/>
        <v>115BD004臺灣桃園國際機場第三航站區旅客運輸系統工程-建置車輛監控管理系統*專案營收</v>
      </c>
      <c r="AA241" s="253" t="str">
        <f t="shared" si="30"/>
        <v>無預算</v>
      </c>
    </row>
    <row r="242" spans="18:27" ht="16.5" customHeight="1">
      <c r="R242" s="68" t="s">
        <v>643</v>
      </c>
      <c r="S242" s="70" t="s">
        <v>644</v>
      </c>
      <c r="T242" s="70" t="s">
        <v>126</v>
      </c>
      <c r="U242" s="70" t="s">
        <v>525</v>
      </c>
      <c r="V242" s="70" t="s">
        <v>530</v>
      </c>
      <c r="W242" s="70" t="s">
        <v>646</v>
      </c>
      <c r="X242" s="70" t="s">
        <v>318</v>
      </c>
      <c r="Y242" s="80">
        <v>-1617000</v>
      </c>
      <c r="Z242" s="70" t="str">
        <f t="shared" si="31"/>
        <v>115BD004臺灣桃園國際機場第三航站區旅客運輸系統工程-建置車輛監控管理系統*臨時人力</v>
      </c>
      <c r="AA242" s="253" t="str">
        <f t="shared" si="30"/>
        <v>115BD004SE01</v>
      </c>
    </row>
    <row r="243" spans="18:27" ht="16.5" customHeight="1">
      <c r="R243" s="68" t="s">
        <v>643</v>
      </c>
      <c r="S243" s="70" t="s">
        <v>644</v>
      </c>
      <c r="T243" s="70" t="s">
        <v>126</v>
      </c>
      <c r="U243" s="70" t="s">
        <v>525</v>
      </c>
      <c r="V243" s="70" t="s">
        <v>533</v>
      </c>
      <c r="W243" s="70" t="s">
        <v>647</v>
      </c>
      <c r="X243" s="70" t="s">
        <v>323</v>
      </c>
      <c r="Y243" s="80">
        <v>0</v>
      </c>
      <c r="Z243" s="70" t="str">
        <f t="shared" si="31"/>
        <v>115BD004臺灣桃園國際機場第三航站區旅客運輸系統工程-建置車輛監控管理系統*材料</v>
      </c>
      <c r="AA243" s="253" t="str">
        <f t="shared" si="30"/>
        <v>無預算</v>
      </c>
    </row>
    <row r="244" spans="18:27" ht="16.5" customHeight="1">
      <c r="R244" s="68" t="s">
        <v>643</v>
      </c>
      <c r="S244" s="70" t="s">
        <v>644</v>
      </c>
      <c r="T244" s="70" t="s">
        <v>126</v>
      </c>
      <c r="U244" s="70" t="s">
        <v>525</v>
      </c>
      <c r="V244" s="70" t="s">
        <v>262</v>
      </c>
      <c r="W244" s="70" t="s">
        <v>648</v>
      </c>
      <c r="X244" s="70" t="s">
        <v>328</v>
      </c>
      <c r="Y244" s="80">
        <v>0</v>
      </c>
      <c r="Z244" s="70" t="str">
        <f t="shared" si="31"/>
        <v>115BD004臺灣桃園國際機場第三航站區旅客運輸系統工程-建置車輛監控管理系統*設備</v>
      </c>
      <c r="AA244" s="253" t="str">
        <f t="shared" si="30"/>
        <v>無預算</v>
      </c>
    </row>
    <row r="245" spans="18:27" ht="16.5" customHeight="1">
      <c r="R245" s="68" t="s">
        <v>643</v>
      </c>
      <c r="S245" s="70" t="s">
        <v>644</v>
      </c>
      <c r="T245" s="70" t="s">
        <v>126</v>
      </c>
      <c r="U245" s="70" t="s">
        <v>525</v>
      </c>
      <c r="V245" s="70" t="s">
        <v>538</v>
      </c>
      <c r="W245" s="70" t="s">
        <v>649</v>
      </c>
      <c r="X245" s="70" t="s">
        <v>333</v>
      </c>
      <c r="Y245" s="80">
        <v>0</v>
      </c>
      <c r="Z245" s="70" t="str">
        <f t="shared" si="31"/>
        <v>115BD004臺灣桃園國際機場第三航站區旅客運輸系統工程-建置車輛監控管理系統*雜項購置</v>
      </c>
      <c r="AA245" s="253" t="str">
        <f t="shared" si="30"/>
        <v>無預算</v>
      </c>
    </row>
    <row r="246" spans="18:27" ht="16.5" customHeight="1">
      <c r="R246" s="68" t="s">
        <v>643</v>
      </c>
      <c r="S246" s="70" t="s">
        <v>644</v>
      </c>
      <c r="T246" s="70" t="s">
        <v>126</v>
      </c>
      <c r="U246" s="70" t="s">
        <v>525</v>
      </c>
      <c r="V246" s="70" t="s">
        <v>541</v>
      </c>
      <c r="W246" s="70" t="s">
        <v>650</v>
      </c>
      <c r="X246" s="70" t="s">
        <v>338</v>
      </c>
      <c r="Y246" s="80">
        <v>0</v>
      </c>
      <c r="Z246" s="70" t="str">
        <f t="shared" si="31"/>
        <v>115BD004臺灣桃園國際機場第三航站區旅客運輸系統工程-建置車輛監控管理系統*委外</v>
      </c>
      <c r="AA246" s="253" t="str">
        <f t="shared" si="30"/>
        <v>無預算</v>
      </c>
    </row>
    <row r="247" spans="18:27" ht="16.5" customHeight="1">
      <c r="R247" s="68" t="s">
        <v>643</v>
      </c>
      <c r="S247" s="70" t="s">
        <v>644</v>
      </c>
      <c r="T247" s="70" t="s">
        <v>126</v>
      </c>
      <c r="U247" s="70" t="s">
        <v>525</v>
      </c>
      <c r="V247" s="70" t="s">
        <v>544</v>
      </c>
      <c r="W247" s="70" t="s">
        <v>651</v>
      </c>
      <c r="X247" s="70" t="s">
        <v>546</v>
      </c>
      <c r="Y247" s="80">
        <v>-21400</v>
      </c>
      <c r="Z247" s="70" t="str">
        <f t="shared" si="31"/>
        <v>115BD004臺灣桃園國際機場第三航站區旅客運輸系統工程-建置車輛監控管理系統*旅費</v>
      </c>
      <c r="AA247" s="253" t="str">
        <f t="shared" si="30"/>
        <v>無預算</v>
      </c>
    </row>
    <row r="248" spans="18:27" ht="16.5" customHeight="1">
      <c r="R248" s="68" t="s">
        <v>643</v>
      </c>
      <c r="S248" s="70" t="s">
        <v>644</v>
      </c>
      <c r="T248" s="70" t="s">
        <v>126</v>
      </c>
      <c r="U248" s="70" t="s">
        <v>525</v>
      </c>
      <c r="V248" s="70" t="s">
        <v>70</v>
      </c>
      <c r="W248" s="70" t="s">
        <v>652</v>
      </c>
      <c r="X248" s="70" t="s">
        <v>347</v>
      </c>
      <c r="Y248" s="80">
        <v>0</v>
      </c>
      <c r="Z248" s="70" t="str">
        <f t="shared" si="31"/>
        <v>115BD004臺灣桃園國際機場第三航站區旅客運輸系統工程-建置車輛監控管理系統*運費</v>
      </c>
      <c r="AA248" s="253" t="str">
        <f t="shared" si="30"/>
        <v>無預算</v>
      </c>
    </row>
    <row r="249" spans="18:27" ht="16.5" customHeight="1">
      <c r="R249" s="68" t="s">
        <v>643</v>
      </c>
      <c r="S249" s="70" t="s">
        <v>644</v>
      </c>
      <c r="T249" s="70" t="s">
        <v>126</v>
      </c>
      <c r="U249" s="70" t="s">
        <v>525</v>
      </c>
      <c r="V249" s="70" t="s">
        <v>550</v>
      </c>
      <c r="W249" s="70" t="s">
        <v>653</v>
      </c>
      <c r="X249" s="70" t="s">
        <v>352</v>
      </c>
      <c r="Y249" s="80">
        <v>0</v>
      </c>
      <c r="Z249" s="70" t="str">
        <f t="shared" si="31"/>
        <v>115BD004臺灣桃園國際機場第三航站區旅客運輸系統工程-建置車輛監控管理系統*雜費</v>
      </c>
      <c r="AA249" s="253" t="str">
        <f t="shared" si="30"/>
        <v>無預算</v>
      </c>
    </row>
    <row r="250" spans="18:27" ht="16.5" customHeight="1">
      <c r="R250" s="68" t="s">
        <v>886</v>
      </c>
      <c r="S250" s="70" t="s">
        <v>887</v>
      </c>
      <c r="T250" s="70" t="s">
        <v>126</v>
      </c>
      <c r="U250" s="70" t="s">
        <v>525</v>
      </c>
      <c r="V250" s="70" t="s">
        <v>526</v>
      </c>
      <c r="W250" s="70" t="s">
        <v>888</v>
      </c>
      <c r="X250" s="70" t="s">
        <v>528</v>
      </c>
      <c r="Y250" s="80">
        <v>2140000</v>
      </c>
      <c r="Z250" s="70" t="str">
        <f t="shared" ref="Z250:Z258" si="32">S250&amp;R250&amp;X250</f>
        <v>115BD005適用於封閉區域慢速自駕車之「通用型車頂整合設備包」設計*專案營收</v>
      </c>
      <c r="AA250" s="253" t="str">
        <f t="shared" ref="AA250:AA258" si="33">IF(OR(X250="*旅費", X250="*折舊及攤銷"), "無預算", IF(AND(ISNUMBER(Y250), Y250&lt;&gt;0), W250, "無預算"))</f>
        <v>115BD005RP01</v>
      </c>
    </row>
    <row r="251" spans="18:27" ht="16.5" customHeight="1">
      <c r="R251" s="68" t="s">
        <v>886</v>
      </c>
      <c r="S251" s="70" t="s">
        <v>887</v>
      </c>
      <c r="T251" s="70" t="s">
        <v>126</v>
      </c>
      <c r="U251" s="70" t="s">
        <v>525</v>
      </c>
      <c r="V251" s="70" t="s">
        <v>530</v>
      </c>
      <c r="W251" s="70" t="s">
        <v>889</v>
      </c>
      <c r="X251" s="70" t="s">
        <v>318</v>
      </c>
      <c r="Y251" s="80">
        <v>0</v>
      </c>
      <c r="Z251" s="70" t="str">
        <f t="shared" si="32"/>
        <v>115BD005適用於封閉區域慢速自駕車之「通用型車頂整合設備包」設計*臨時人力</v>
      </c>
      <c r="AA251" s="253" t="str">
        <f t="shared" si="33"/>
        <v>無預算</v>
      </c>
    </row>
    <row r="252" spans="18:27" ht="16.5" customHeight="1">
      <c r="R252" s="68" t="s">
        <v>886</v>
      </c>
      <c r="S252" s="70" t="s">
        <v>887</v>
      </c>
      <c r="T252" s="70" t="s">
        <v>126</v>
      </c>
      <c r="U252" s="70" t="s">
        <v>525</v>
      </c>
      <c r="V252" s="70" t="s">
        <v>533</v>
      </c>
      <c r="W252" s="70" t="s">
        <v>890</v>
      </c>
      <c r="X252" s="70" t="s">
        <v>323</v>
      </c>
      <c r="Y252" s="80">
        <v>-409000</v>
      </c>
      <c r="Z252" s="70" t="str">
        <f t="shared" si="32"/>
        <v>115BD005適用於封閉區域慢速自駕車之「通用型車頂整合設備包」設計*材料</v>
      </c>
      <c r="AA252" s="253" t="str">
        <f t="shared" si="33"/>
        <v>115BD005SE91</v>
      </c>
    </row>
    <row r="253" spans="18:27" ht="16.5" customHeight="1">
      <c r="R253" s="68" t="s">
        <v>886</v>
      </c>
      <c r="S253" s="70" t="s">
        <v>887</v>
      </c>
      <c r="T253" s="70" t="s">
        <v>126</v>
      </c>
      <c r="U253" s="70" t="s">
        <v>525</v>
      </c>
      <c r="V253" s="70" t="s">
        <v>262</v>
      </c>
      <c r="W253" s="70" t="s">
        <v>891</v>
      </c>
      <c r="X253" s="70" t="s">
        <v>328</v>
      </c>
      <c r="Y253" s="80">
        <v>0</v>
      </c>
      <c r="Z253" s="70" t="str">
        <f t="shared" si="32"/>
        <v>115BD005適用於封閉區域慢速自駕車之「通用型車頂整合設備包」設計*設備</v>
      </c>
      <c r="AA253" s="253" t="str">
        <f t="shared" si="33"/>
        <v>無預算</v>
      </c>
    </row>
    <row r="254" spans="18:27" ht="16.5" customHeight="1">
      <c r="R254" s="68" t="s">
        <v>886</v>
      </c>
      <c r="S254" s="70" t="s">
        <v>887</v>
      </c>
      <c r="T254" s="70" t="s">
        <v>126</v>
      </c>
      <c r="U254" s="70" t="s">
        <v>525</v>
      </c>
      <c r="V254" s="70" t="s">
        <v>538</v>
      </c>
      <c r="W254" s="70" t="s">
        <v>892</v>
      </c>
      <c r="X254" s="70" t="s">
        <v>333</v>
      </c>
      <c r="Y254" s="80">
        <v>-171050</v>
      </c>
      <c r="Z254" s="70" t="str">
        <f t="shared" si="32"/>
        <v>115BD005適用於封閉區域慢速自駕車之「通用型車頂整合設備包」設計*雜項購置</v>
      </c>
      <c r="AA254" s="253" t="str">
        <f t="shared" si="33"/>
        <v>115BD005SE17</v>
      </c>
    </row>
    <row r="255" spans="18:27" ht="16.5" customHeight="1">
      <c r="R255" s="68" t="s">
        <v>886</v>
      </c>
      <c r="S255" s="70" t="s">
        <v>887</v>
      </c>
      <c r="T255" s="70" t="s">
        <v>126</v>
      </c>
      <c r="U255" s="70" t="s">
        <v>525</v>
      </c>
      <c r="V255" s="70" t="s">
        <v>541</v>
      </c>
      <c r="W255" s="70" t="s">
        <v>893</v>
      </c>
      <c r="X255" s="70" t="s">
        <v>338</v>
      </c>
      <c r="Y255" s="80">
        <v>-2395000</v>
      </c>
      <c r="Z255" s="70" t="str">
        <f t="shared" si="32"/>
        <v>115BD005適用於封閉區域慢速自駕車之「通用型車頂整合設備包」設計*委外</v>
      </c>
      <c r="AA255" s="253" t="str">
        <f t="shared" si="33"/>
        <v>115BD005SE14</v>
      </c>
    </row>
    <row r="256" spans="18:27" ht="16.5" customHeight="1">
      <c r="R256" s="68" t="s">
        <v>886</v>
      </c>
      <c r="S256" s="70" t="s">
        <v>887</v>
      </c>
      <c r="T256" s="70" t="s">
        <v>126</v>
      </c>
      <c r="U256" s="70" t="s">
        <v>525</v>
      </c>
      <c r="V256" s="70" t="s">
        <v>544</v>
      </c>
      <c r="W256" s="70" t="s">
        <v>894</v>
      </c>
      <c r="X256" s="70" t="s">
        <v>546</v>
      </c>
      <c r="Y256" s="80">
        <v>-20000</v>
      </c>
      <c r="Z256" s="70" t="str">
        <f t="shared" si="32"/>
        <v>115BD005適用於封閉區域慢速自駕車之「通用型車頂整合設備包」設計*旅費</v>
      </c>
      <c r="AA256" s="253" t="str">
        <f t="shared" si="33"/>
        <v>無預算</v>
      </c>
    </row>
    <row r="257" spans="18:27" ht="16.5" customHeight="1">
      <c r="R257" s="68" t="s">
        <v>886</v>
      </c>
      <c r="S257" s="70" t="s">
        <v>887</v>
      </c>
      <c r="T257" s="70" t="s">
        <v>126</v>
      </c>
      <c r="U257" s="70" t="s">
        <v>525</v>
      </c>
      <c r="V257" s="70" t="s">
        <v>70</v>
      </c>
      <c r="W257" s="70" t="s">
        <v>895</v>
      </c>
      <c r="X257" s="70" t="s">
        <v>347</v>
      </c>
      <c r="Y257" s="80">
        <v>0</v>
      </c>
      <c r="Z257" s="70" t="str">
        <f t="shared" si="32"/>
        <v>115BD005適用於封閉區域慢速自駕車之「通用型車頂整合設備包」設計*運費</v>
      </c>
      <c r="AA257" s="253" t="str">
        <f t="shared" si="33"/>
        <v>無預算</v>
      </c>
    </row>
    <row r="258" spans="18:27" ht="16.5" customHeight="1">
      <c r="R258" s="68" t="s">
        <v>886</v>
      </c>
      <c r="S258" s="70" t="s">
        <v>887</v>
      </c>
      <c r="T258" s="70" t="s">
        <v>126</v>
      </c>
      <c r="U258" s="70" t="s">
        <v>525</v>
      </c>
      <c r="V258" s="70" t="s">
        <v>550</v>
      </c>
      <c r="W258" s="70" t="s">
        <v>896</v>
      </c>
      <c r="X258" s="70" t="s">
        <v>352</v>
      </c>
      <c r="Y258" s="80">
        <v>-103025</v>
      </c>
      <c r="Z258" s="70" t="str">
        <f t="shared" si="32"/>
        <v>115BD005適用於封閉區域慢速自駕車之「通用型車頂整合設備包」設計*雜費</v>
      </c>
      <c r="AA258" s="253" t="str">
        <f t="shared" si="33"/>
        <v>115BD005SE99</v>
      </c>
    </row>
    <row r="259" spans="18:27" ht="16.5" customHeight="1">
      <c r="R259" s="68" t="s">
        <v>905</v>
      </c>
      <c r="S259" s="70" t="s">
        <v>915</v>
      </c>
      <c r="T259" s="70" t="s">
        <v>126</v>
      </c>
      <c r="U259" s="70" t="s">
        <v>525</v>
      </c>
      <c r="V259" s="70" t="s">
        <v>526</v>
      </c>
      <c r="W259" s="70" t="s">
        <v>906</v>
      </c>
      <c r="X259" s="70" t="s">
        <v>528</v>
      </c>
      <c r="Y259" s="80">
        <v>1800000</v>
      </c>
      <c r="Z259" s="70" t="str">
        <f t="shared" ref="Z259:Z267" si="34">S259&amp;R259&amp;X259</f>
        <v>115BD006國際拔尖潛力新創獎勵*專案營收</v>
      </c>
      <c r="AA259" s="253" t="str">
        <f t="shared" ref="AA259:AA267" si="35">IF(OR(X259="*旅費", X259="*折舊及攤銷"), "無預算", IF(AND(ISNUMBER(Y259), Y259&lt;&gt;0), W259, "無預算"))</f>
        <v>115BD006RP01</v>
      </c>
    </row>
    <row r="260" spans="18:27" ht="16.5" customHeight="1">
      <c r="R260" s="68" t="s">
        <v>905</v>
      </c>
      <c r="S260" s="70" t="s">
        <v>915</v>
      </c>
      <c r="T260" s="70" t="s">
        <v>126</v>
      </c>
      <c r="U260" s="70" t="s">
        <v>525</v>
      </c>
      <c r="V260" s="70" t="s">
        <v>530</v>
      </c>
      <c r="W260" s="70" t="s">
        <v>907</v>
      </c>
      <c r="X260" s="70" t="s">
        <v>318</v>
      </c>
      <c r="Y260" s="80">
        <v>0</v>
      </c>
      <c r="Z260" s="70" t="str">
        <f t="shared" si="34"/>
        <v>115BD006國際拔尖潛力新創獎勵*臨時人力</v>
      </c>
      <c r="AA260" s="253" t="str">
        <f t="shared" si="35"/>
        <v>無預算</v>
      </c>
    </row>
    <row r="261" spans="18:27" ht="16.5" customHeight="1">
      <c r="R261" s="68" t="s">
        <v>905</v>
      </c>
      <c r="S261" s="70" t="s">
        <v>915</v>
      </c>
      <c r="T261" s="70" t="s">
        <v>126</v>
      </c>
      <c r="U261" s="70" t="s">
        <v>525</v>
      </c>
      <c r="V261" s="70" t="s">
        <v>533</v>
      </c>
      <c r="W261" s="70" t="s">
        <v>908</v>
      </c>
      <c r="X261" s="70" t="s">
        <v>323</v>
      </c>
      <c r="Y261" s="80">
        <v>0</v>
      </c>
      <c r="Z261" s="70" t="str">
        <f t="shared" si="34"/>
        <v>115BD006國際拔尖潛力新創獎勵*材料</v>
      </c>
      <c r="AA261" s="253" t="str">
        <f t="shared" si="35"/>
        <v>無預算</v>
      </c>
    </row>
    <row r="262" spans="18:27" ht="16.5" customHeight="1">
      <c r="R262" s="68" t="s">
        <v>905</v>
      </c>
      <c r="S262" s="70" t="s">
        <v>915</v>
      </c>
      <c r="T262" s="70" t="s">
        <v>126</v>
      </c>
      <c r="U262" s="70" t="s">
        <v>525</v>
      </c>
      <c r="V262" s="70" t="s">
        <v>262</v>
      </c>
      <c r="W262" s="70" t="s">
        <v>909</v>
      </c>
      <c r="X262" s="70" t="s">
        <v>328</v>
      </c>
      <c r="Y262" s="80">
        <v>0</v>
      </c>
      <c r="Z262" s="70" t="str">
        <f t="shared" si="34"/>
        <v>115BD006國際拔尖潛力新創獎勵*設備</v>
      </c>
      <c r="AA262" s="253" t="str">
        <f t="shared" si="35"/>
        <v>無預算</v>
      </c>
    </row>
    <row r="263" spans="18:27" ht="16.5" customHeight="1">
      <c r="R263" s="68" t="s">
        <v>905</v>
      </c>
      <c r="S263" s="70" t="s">
        <v>915</v>
      </c>
      <c r="T263" s="70" t="s">
        <v>126</v>
      </c>
      <c r="U263" s="70" t="s">
        <v>525</v>
      </c>
      <c r="V263" s="70" t="s">
        <v>538</v>
      </c>
      <c r="W263" s="70" t="s">
        <v>910</v>
      </c>
      <c r="X263" s="70" t="s">
        <v>333</v>
      </c>
      <c r="Y263" s="80">
        <v>-20000</v>
      </c>
      <c r="Z263" s="70" t="str">
        <f t="shared" si="34"/>
        <v>115BD006國際拔尖潛力新創獎勵*雜項購置</v>
      </c>
      <c r="AA263" s="253" t="str">
        <f t="shared" si="35"/>
        <v>115BD006SE17</v>
      </c>
    </row>
    <row r="264" spans="18:27" ht="16.5" customHeight="1">
      <c r="R264" s="68" t="s">
        <v>905</v>
      </c>
      <c r="S264" s="70" t="s">
        <v>915</v>
      </c>
      <c r="T264" s="70" t="s">
        <v>126</v>
      </c>
      <c r="U264" s="70" t="s">
        <v>525</v>
      </c>
      <c r="V264" s="70" t="s">
        <v>541</v>
      </c>
      <c r="W264" s="70" t="s">
        <v>911</v>
      </c>
      <c r="X264" s="70" t="s">
        <v>338</v>
      </c>
      <c r="Y264" s="80">
        <v>-1062000</v>
      </c>
      <c r="Z264" s="70" t="str">
        <f t="shared" si="34"/>
        <v>115BD006國際拔尖潛力新創獎勵*委外</v>
      </c>
      <c r="AA264" s="253" t="str">
        <f t="shared" si="35"/>
        <v>115BD006SE14</v>
      </c>
    </row>
    <row r="265" spans="18:27" ht="16.5" customHeight="1">
      <c r="R265" s="68" t="s">
        <v>905</v>
      </c>
      <c r="S265" s="70" t="s">
        <v>915</v>
      </c>
      <c r="T265" s="70" t="s">
        <v>126</v>
      </c>
      <c r="U265" s="70" t="s">
        <v>525</v>
      </c>
      <c r="V265" s="70" t="s">
        <v>544</v>
      </c>
      <c r="W265" s="70" t="s">
        <v>912</v>
      </c>
      <c r="X265" s="70" t="s">
        <v>546</v>
      </c>
      <c r="Y265" s="80">
        <v>-180000</v>
      </c>
      <c r="Z265" s="70" t="str">
        <f t="shared" si="34"/>
        <v>115BD006國際拔尖潛力新創獎勵*旅費</v>
      </c>
      <c r="AA265" s="253" t="str">
        <f t="shared" si="35"/>
        <v>無預算</v>
      </c>
    </row>
    <row r="266" spans="18:27" ht="16.5" customHeight="1">
      <c r="R266" s="68" t="s">
        <v>905</v>
      </c>
      <c r="S266" s="70" t="s">
        <v>915</v>
      </c>
      <c r="T266" s="70" t="s">
        <v>126</v>
      </c>
      <c r="U266" s="70" t="s">
        <v>525</v>
      </c>
      <c r="V266" s="70" t="s">
        <v>70</v>
      </c>
      <c r="W266" s="70" t="s">
        <v>913</v>
      </c>
      <c r="X266" s="70" t="s">
        <v>347</v>
      </c>
      <c r="Y266" s="80">
        <v>0</v>
      </c>
      <c r="Z266" s="70" t="str">
        <f t="shared" si="34"/>
        <v>115BD006國際拔尖潛力新創獎勵*運費</v>
      </c>
      <c r="AA266" s="253" t="str">
        <f t="shared" si="35"/>
        <v>無預算</v>
      </c>
    </row>
    <row r="267" spans="18:27" ht="16.5" customHeight="1">
      <c r="R267" s="68" t="s">
        <v>905</v>
      </c>
      <c r="S267" s="70" t="s">
        <v>915</v>
      </c>
      <c r="T267" s="70" t="s">
        <v>126</v>
      </c>
      <c r="U267" s="70" t="s">
        <v>525</v>
      </c>
      <c r="V267" s="70" t="s">
        <v>550</v>
      </c>
      <c r="W267" s="70" t="s">
        <v>914</v>
      </c>
      <c r="X267" s="70" t="s">
        <v>352</v>
      </c>
      <c r="Y267" s="80">
        <v>-94500</v>
      </c>
      <c r="Z267" s="70" t="str">
        <f t="shared" si="34"/>
        <v>115BD006國際拔尖潛力新創獎勵*雜費</v>
      </c>
      <c r="AA267" s="253" t="str">
        <f t="shared" si="35"/>
        <v>115BD006SE99</v>
      </c>
    </row>
    <row r="268" spans="18:27" ht="16.5" customHeight="1">
      <c r="R268" s="68" t="s">
        <v>654</v>
      </c>
      <c r="S268" s="70" t="s">
        <v>655</v>
      </c>
      <c r="T268" s="70" t="s">
        <v>126</v>
      </c>
      <c r="U268" s="70" t="s">
        <v>656</v>
      </c>
      <c r="V268" s="70" t="s">
        <v>526</v>
      </c>
      <c r="W268" s="70" t="s">
        <v>657</v>
      </c>
      <c r="X268" s="70" t="s">
        <v>528</v>
      </c>
      <c r="Y268" s="80">
        <v>0</v>
      </c>
      <c r="Z268" s="70" t="s">
        <v>658</v>
      </c>
      <c r="AA268" s="253" t="str">
        <f t="shared" si="30"/>
        <v>無預算</v>
      </c>
    </row>
    <row r="269" spans="18:27" ht="16.5" customHeight="1">
      <c r="R269" s="68" t="s">
        <v>654</v>
      </c>
      <c r="S269" s="70" t="s">
        <v>655</v>
      </c>
      <c r="T269" s="70" t="s">
        <v>126</v>
      </c>
      <c r="U269" s="70" t="s">
        <v>656</v>
      </c>
      <c r="V269" s="70" t="s">
        <v>530</v>
      </c>
      <c r="W269" s="70" t="s">
        <v>659</v>
      </c>
      <c r="X269" s="70" t="s">
        <v>318</v>
      </c>
      <c r="Y269" s="80">
        <v>0</v>
      </c>
      <c r="Z269" s="70" t="s">
        <v>660</v>
      </c>
      <c r="AA269" s="253" t="str">
        <f t="shared" si="30"/>
        <v>無預算</v>
      </c>
    </row>
    <row r="270" spans="18:27" ht="16.5" customHeight="1">
      <c r="R270" s="68" t="s">
        <v>654</v>
      </c>
      <c r="S270" s="70" t="s">
        <v>655</v>
      </c>
      <c r="T270" s="70" t="s">
        <v>126</v>
      </c>
      <c r="U270" s="70" t="s">
        <v>656</v>
      </c>
      <c r="V270" s="70" t="s">
        <v>533</v>
      </c>
      <c r="W270" s="70" t="s">
        <v>661</v>
      </c>
      <c r="X270" s="70" t="s">
        <v>323</v>
      </c>
      <c r="Y270" s="80">
        <v>-2000</v>
      </c>
      <c r="Z270" s="70" t="s">
        <v>662</v>
      </c>
      <c r="AA270" s="253" t="str">
        <f t="shared" ref="AA270:AA294" si="36">IF(OR(X270="*旅費", X270="*折舊及攤銷"), "無預算", IF(AND(ISNUMBER(Y270), Y270&lt;&gt;0), W270, "無預算"))</f>
        <v>114GO001SE91</v>
      </c>
    </row>
    <row r="271" spans="18:27" ht="16.5" customHeight="1">
      <c r="R271" s="68" t="s">
        <v>654</v>
      </c>
      <c r="S271" s="70" t="s">
        <v>655</v>
      </c>
      <c r="T271" s="70" t="s">
        <v>126</v>
      </c>
      <c r="U271" s="70" t="s">
        <v>656</v>
      </c>
      <c r="V271" s="70" t="s">
        <v>262</v>
      </c>
      <c r="W271" s="70" t="s">
        <v>663</v>
      </c>
      <c r="X271" s="70" t="s">
        <v>328</v>
      </c>
      <c r="Y271" s="80">
        <v>-20000</v>
      </c>
      <c r="Z271" s="70" t="s">
        <v>664</v>
      </c>
      <c r="AA271" s="253" t="str">
        <f t="shared" si="36"/>
        <v>114GO001SE16</v>
      </c>
    </row>
    <row r="272" spans="18:27" ht="16.5" customHeight="1">
      <c r="R272" s="68" t="s">
        <v>654</v>
      </c>
      <c r="S272" s="70" t="s">
        <v>655</v>
      </c>
      <c r="T272" s="70" t="s">
        <v>126</v>
      </c>
      <c r="U272" s="70" t="s">
        <v>656</v>
      </c>
      <c r="V272" s="70" t="s">
        <v>538</v>
      </c>
      <c r="W272" s="70" t="s">
        <v>665</v>
      </c>
      <c r="X272" s="70" t="s">
        <v>333</v>
      </c>
      <c r="Y272" s="80">
        <v>-22000</v>
      </c>
      <c r="Z272" s="70" t="s">
        <v>666</v>
      </c>
      <c r="AA272" s="253" t="str">
        <f t="shared" si="36"/>
        <v>114GO001SE17</v>
      </c>
    </row>
    <row r="273" spans="18:27" ht="16.5" customHeight="1">
      <c r="R273" s="68" t="s">
        <v>654</v>
      </c>
      <c r="S273" s="70" t="s">
        <v>655</v>
      </c>
      <c r="T273" s="70" t="s">
        <v>126</v>
      </c>
      <c r="U273" s="70" t="s">
        <v>656</v>
      </c>
      <c r="V273" s="70" t="s">
        <v>541</v>
      </c>
      <c r="W273" s="70" t="s">
        <v>667</v>
      </c>
      <c r="X273" s="70" t="s">
        <v>338</v>
      </c>
      <c r="Y273" s="80">
        <v>-50000</v>
      </c>
      <c r="Z273" s="70" t="s">
        <v>668</v>
      </c>
      <c r="AA273" s="253" t="str">
        <f t="shared" si="36"/>
        <v>114GO001SE14</v>
      </c>
    </row>
    <row r="274" spans="18:27" ht="16.5" customHeight="1">
      <c r="R274" s="68" t="s">
        <v>654</v>
      </c>
      <c r="S274" s="70" t="s">
        <v>655</v>
      </c>
      <c r="T274" s="70" t="s">
        <v>126</v>
      </c>
      <c r="U274" s="70" t="s">
        <v>656</v>
      </c>
      <c r="V274" s="70" t="s">
        <v>544</v>
      </c>
      <c r="W274" s="70" t="s">
        <v>669</v>
      </c>
      <c r="X274" s="70" t="s">
        <v>546</v>
      </c>
      <c r="Y274" s="80">
        <v>-15000</v>
      </c>
      <c r="Z274" s="70" t="s">
        <v>670</v>
      </c>
      <c r="AA274" s="253" t="str">
        <f t="shared" si="36"/>
        <v>無預算</v>
      </c>
    </row>
    <row r="275" spans="18:27" ht="16.5" customHeight="1">
      <c r="R275" s="68" t="s">
        <v>654</v>
      </c>
      <c r="S275" s="70" t="s">
        <v>655</v>
      </c>
      <c r="T275" s="70" t="s">
        <v>126</v>
      </c>
      <c r="U275" s="70" t="s">
        <v>656</v>
      </c>
      <c r="V275" s="70" t="s">
        <v>70</v>
      </c>
      <c r="W275" s="70" t="s">
        <v>671</v>
      </c>
      <c r="X275" s="70" t="s">
        <v>347</v>
      </c>
      <c r="Y275" s="80">
        <v>0</v>
      </c>
      <c r="Z275" s="70" t="s">
        <v>672</v>
      </c>
      <c r="AA275" s="253" t="str">
        <f t="shared" si="36"/>
        <v>無預算</v>
      </c>
    </row>
    <row r="276" spans="18:27" ht="16.5" customHeight="1">
      <c r="R276" s="68" t="s">
        <v>654</v>
      </c>
      <c r="S276" s="70" t="s">
        <v>655</v>
      </c>
      <c r="T276" s="70" t="s">
        <v>126</v>
      </c>
      <c r="U276" s="70" t="s">
        <v>656</v>
      </c>
      <c r="V276" s="70" t="s">
        <v>550</v>
      </c>
      <c r="W276" s="70" t="s">
        <v>673</v>
      </c>
      <c r="X276" s="70" t="s">
        <v>352</v>
      </c>
      <c r="Y276" s="80">
        <v>-5000</v>
      </c>
      <c r="Z276" s="70" t="s">
        <v>674</v>
      </c>
      <c r="AA276" s="253" t="str">
        <f t="shared" si="36"/>
        <v>114GO001SE99</v>
      </c>
    </row>
    <row r="277" spans="18:27" ht="16.5" customHeight="1">
      <c r="R277" s="68" t="s">
        <v>675</v>
      </c>
      <c r="S277" s="70" t="s">
        <v>275</v>
      </c>
      <c r="T277" s="70" t="s">
        <v>126</v>
      </c>
      <c r="U277" s="70" t="s">
        <v>656</v>
      </c>
      <c r="V277" s="70" t="s">
        <v>526</v>
      </c>
      <c r="W277" s="70" t="s">
        <v>676</v>
      </c>
      <c r="X277" s="70" t="s">
        <v>528</v>
      </c>
      <c r="Y277" s="80">
        <v>0</v>
      </c>
      <c r="Z277" s="70" t="s">
        <v>677</v>
      </c>
      <c r="AA277" s="253" t="str">
        <f t="shared" si="36"/>
        <v>無預算</v>
      </c>
    </row>
    <row r="278" spans="18:27" ht="16.5" customHeight="1">
      <c r="R278" s="68" t="s">
        <v>675</v>
      </c>
      <c r="S278" s="70" t="s">
        <v>275</v>
      </c>
      <c r="T278" s="70" t="s">
        <v>126</v>
      </c>
      <c r="U278" s="70" t="s">
        <v>656</v>
      </c>
      <c r="V278" s="70" t="s">
        <v>530</v>
      </c>
      <c r="W278" s="70" t="s">
        <v>678</v>
      </c>
      <c r="X278" s="70" t="s">
        <v>318</v>
      </c>
      <c r="Y278" s="80">
        <v>0</v>
      </c>
      <c r="Z278" s="70" t="s">
        <v>679</v>
      </c>
      <c r="AA278" s="253" t="str">
        <f t="shared" si="36"/>
        <v>無預算</v>
      </c>
    </row>
    <row r="279" spans="18:27" ht="16.5" customHeight="1">
      <c r="R279" s="68" t="s">
        <v>675</v>
      </c>
      <c r="S279" s="70" t="s">
        <v>275</v>
      </c>
      <c r="T279" s="70" t="s">
        <v>126</v>
      </c>
      <c r="U279" s="70" t="s">
        <v>656</v>
      </c>
      <c r="V279" s="70" t="s">
        <v>533</v>
      </c>
      <c r="W279" s="70" t="s">
        <v>680</v>
      </c>
      <c r="X279" s="70" t="s">
        <v>323</v>
      </c>
      <c r="Y279" s="80">
        <v>-10000</v>
      </c>
      <c r="Z279" s="70" t="s">
        <v>681</v>
      </c>
      <c r="AA279" s="253" t="str">
        <f t="shared" si="36"/>
        <v>114GO002SE91</v>
      </c>
    </row>
    <row r="280" spans="18:27" ht="16.5" customHeight="1">
      <c r="R280" s="68" t="s">
        <v>675</v>
      </c>
      <c r="S280" s="70" t="s">
        <v>275</v>
      </c>
      <c r="T280" s="70" t="s">
        <v>126</v>
      </c>
      <c r="U280" s="70" t="s">
        <v>656</v>
      </c>
      <c r="V280" s="70" t="s">
        <v>262</v>
      </c>
      <c r="W280" s="70" t="s">
        <v>682</v>
      </c>
      <c r="X280" s="70" t="s">
        <v>328</v>
      </c>
      <c r="Y280" s="80">
        <v>-757000</v>
      </c>
      <c r="Z280" s="70" t="s">
        <v>683</v>
      </c>
      <c r="AA280" s="253" t="str">
        <f t="shared" si="36"/>
        <v>114GO002SE16</v>
      </c>
    </row>
    <row r="281" spans="18:27" ht="16.5" customHeight="1">
      <c r="R281" s="68" t="s">
        <v>675</v>
      </c>
      <c r="S281" s="70" t="s">
        <v>275</v>
      </c>
      <c r="T281" s="70" t="s">
        <v>126</v>
      </c>
      <c r="U281" s="70" t="s">
        <v>656</v>
      </c>
      <c r="V281" s="70" t="s">
        <v>538</v>
      </c>
      <c r="W281" s="70" t="s">
        <v>684</v>
      </c>
      <c r="X281" s="70" t="s">
        <v>333</v>
      </c>
      <c r="Y281" s="80">
        <v>-4000</v>
      </c>
      <c r="Z281" s="70" t="s">
        <v>685</v>
      </c>
      <c r="AA281" s="253" t="str">
        <f t="shared" si="36"/>
        <v>114GO002SE17</v>
      </c>
    </row>
    <row r="282" spans="18:27" ht="16.5" customHeight="1">
      <c r="R282" s="68" t="s">
        <v>675</v>
      </c>
      <c r="S282" s="70" t="s">
        <v>275</v>
      </c>
      <c r="T282" s="70" t="s">
        <v>126</v>
      </c>
      <c r="U282" s="70" t="s">
        <v>656</v>
      </c>
      <c r="V282" s="70" t="s">
        <v>541</v>
      </c>
      <c r="W282" s="70" t="s">
        <v>686</v>
      </c>
      <c r="X282" s="70" t="s">
        <v>338</v>
      </c>
      <c r="Y282" s="80">
        <v>-50000</v>
      </c>
      <c r="Z282" s="70" t="s">
        <v>687</v>
      </c>
      <c r="AA282" s="253" t="str">
        <f t="shared" si="36"/>
        <v>114GO002SE14</v>
      </c>
    </row>
    <row r="283" spans="18:27" ht="16.5" customHeight="1">
      <c r="R283" s="68" t="s">
        <v>675</v>
      </c>
      <c r="S283" s="70" t="s">
        <v>275</v>
      </c>
      <c r="T283" s="70" t="s">
        <v>126</v>
      </c>
      <c r="U283" s="70" t="s">
        <v>656</v>
      </c>
      <c r="V283" s="70" t="s">
        <v>544</v>
      </c>
      <c r="W283" s="70" t="s">
        <v>688</v>
      </c>
      <c r="X283" s="70" t="s">
        <v>546</v>
      </c>
      <c r="Y283" s="80">
        <v>-125000</v>
      </c>
      <c r="Z283" s="70" t="s">
        <v>689</v>
      </c>
      <c r="AA283" s="253" t="str">
        <f t="shared" si="36"/>
        <v>無預算</v>
      </c>
    </row>
    <row r="284" spans="18:27" ht="16.5" customHeight="1">
      <c r="R284" s="68" t="s">
        <v>675</v>
      </c>
      <c r="S284" s="70" t="s">
        <v>275</v>
      </c>
      <c r="T284" s="70" t="s">
        <v>126</v>
      </c>
      <c r="U284" s="70" t="s">
        <v>656</v>
      </c>
      <c r="V284" s="70" t="s">
        <v>70</v>
      </c>
      <c r="W284" s="70" t="s">
        <v>690</v>
      </c>
      <c r="X284" s="70" t="s">
        <v>347</v>
      </c>
      <c r="Y284" s="80">
        <v>-310000</v>
      </c>
      <c r="Z284" s="70" t="s">
        <v>691</v>
      </c>
      <c r="AA284" s="253" t="str">
        <f t="shared" si="36"/>
        <v>114GO002SE04</v>
      </c>
    </row>
    <row r="285" spans="18:27" ht="16.5" customHeight="1">
      <c r="R285" s="68" t="s">
        <v>675</v>
      </c>
      <c r="S285" s="70" t="s">
        <v>275</v>
      </c>
      <c r="T285" s="70" t="s">
        <v>126</v>
      </c>
      <c r="U285" s="70" t="s">
        <v>656</v>
      </c>
      <c r="V285" s="70" t="s">
        <v>550</v>
      </c>
      <c r="W285" s="70" t="s">
        <v>692</v>
      </c>
      <c r="X285" s="70" t="s">
        <v>352</v>
      </c>
      <c r="Y285" s="80">
        <v>-5000</v>
      </c>
      <c r="Z285" s="70" t="s">
        <v>693</v>
      </c>
      <c r="AA285" s="253" t="str">
        <f t="shared" si="36"/>
        <v>114GO002SE99</v>
      </c>
    </row>
    <row r="286" spans="18:27" ht="16.5" customHeight="1">
      <c r="R286" s="68" t="s">
        <v>694</v>
      </c>
      <c r="S286" s="70" t="s">
        <v>695</v>
      </c>
      <c r="T286" s="70" t="s">
        <v>126</v>
      </c>
      <c r="U286" s="70" t="s">
        <v>656</v>
      </c>
      <c r="V286" s="70" t="s">
        <v>526</v>
      </c>
      <c r="W286" s="70" t="s">
        <v>696</v>
      </c>
      <c r="X286" s="70" t="s">
        <v>528</v>
      </c>
      <c r="Y286" s="80">
        <v>0</v>
      </c>
      <c r="Z286" s="70" t="s">
        <v>697</v>
      </c>
      <c r="AA286" s="253" t="str">
        <f t="shared" si="36"/>
        <v>無預算</v>
      </c>
    </row>
    <row r="287" spans="18:27" ht="16.5" customHeight="1">
      <c r="R287" s="68" t="s">
        <v>694</v>
      </c>
      <c r="S287" s="70" t="s">
        <v>695</v>
      </c>
      <c r="T287" s="70" t="s">
        <v>126</v>
      </c>
      <c r="U287" s="70" t="s">
        <v>656</v>
      </c>
      <c r="V287" s="70" t="s">
        <v>530</v>
      </c>
      <c r="W287" s="70" t="s">
        <v>698</v>
      </c>
      <c r="X287" s="70" t="s">
        <v>318</v>
      </c>
      <c r="Y287" s="80">
        <v>0</v>
      </c>
      <c r="Z287" s="70" t="s">
        <v>699</v>
      </c>
      <c r="AA287" s="253" t="str">
        <f t="shared" si="36"/>
        <v>無預算</v>
      </c>
    </row>
    <row r="288" spans="18:27" ht="16.5" customHeight="1">
      <c r="R288" s="68" t="s">
        <v>694</v>
      </c>
      <c r="S288" s="70" t="s">
        <v>695</v>
      </c>
      <c r="T288" s="70" t="s">
        <v>126</v>
      </c>
      <c r="U288" s="70" t="s">
        <v>656</v>
      </c>
      <c r="V288" s="70" t="s">
        <v>533</v>
      </c>
      <c r="W288" s="70" t="s">
        <v>700</v>
      </c>
      <c r="X288" s="70" t="s">
        <v>323</v>
      </c>
      <c r="Y288" s="80">
        <v>0</v>
      </c>
      <c r="Z288" s="70" t="s">
        <v>701</v>
      </c>
      <c r="AA288" s="253" t="str">
        <f t="shared" si="36"/>
        <v>無預算</v>
      </c>
    </row>
    <row r="289" spans="18:27" ht="16.5" customHeight="1">
      <c r="R289" s="68" t="s">
        <v>694</v>
      </c>
      <c r="S289" s="70" t="s">
        <v>695</v>
      </c>
      <c r="T289" s="70" t="s">
        <v>126</v>
      </c>
      <c r="U289" s="70" t="s">
        <v>656</v>
      </c>
      <c r="V289" s="70" t="s">
        <v>262</v>
      </c>
      <c r="W289" s="70" t="s">
        <v>702</v>
      </c>
      <c r="X289" s="70" t="s">
        <v>328</v>
      </c>
      <c r="Y289" s="80">
        <v>-1209350</v>
      </c>
      <c r="Z289" s="70" t="s">
        <v>703</v>
      </c>
      <c r="AA289" s="253" t="str">
        <f t="shared" si="36"/>
        <v>115GO001SE16</v>
      </c>
    </row>
    <row r="290" spans="18:27" ht="16.5" customHeight="1">
      <c r="R290" s="68" t="s">
        <v>694</v>
      </c>
      <c r="S290" s="70" t="s">
        <v>695</v>
      </c>
      <c r="T290" s="70" t="s">
        <v>126</v>
      </c>
      <c r="U290" s="70" t="s">
        <v>656</v>
      </c>
      <c r="V290" s="70" t="s">
        <v>538</v>
      </c>
      <c r="W290" s="70" t="s">
        <v>704</v>
      </c>
      <c r="X290" s="70" t="s">
        <v>333</v>
      </c>
      <c r="Y290" s="80">
        <v>-20000</v>
      </c>
      <c r="Z290" s="70" t="s">
        <v>705</v>
      </c>
      <c r="AA290" s="253" t="str">
        <f t="shared" si="36"/>
        <v>115GO001SE17</v>
      </c>
    </row>
    <row r="291" spans="18:27" ht="16.5" customHeight="1">
      <c r="R291" s="68" t="s">
        <v>694</v>
      </c>
      <c r="S291" s="70" t="s">
        <v>695</v>
      </c>
      <c r="T291" s="70" t="s">
        <v>126</v>
      </c>
      <c r="U291" s="70" t="s">
        <v>656</v>
      </c>
      <c r="V291" s="70" t="s">
        <v>541</v>
      </c>
      <c r="W291" s="70" t="s">
        <v>706</v>
      </c>
      <c r="X291" s="70" t="s">
        <v>338</v>
      </c>
      <c r="Y291" s="80">
        <v>0</v>
      </c>
      <c r="Z291" s="70" t="s">
        <v>707</v>
      </c>
      <c r="AA291" s="253" t="str">
        <f t="shared" si="36"/>
        <v>無預算</v>
      </c>
    </row>
    <row r="292" spans="18:27" ht="16.5" customHeight="1">
      <c r="R292" s="68" t="s">
        <v>694</v>
      </c>
      <c r="S292" s="70" t="s">
        <v>695</v>
      </c>
      <c r="T292" s="70" t="s">
        <v>126</v>
      </c>
      <c r="U292" s="70" t="s">
        <v>656</v>
      </c>
      <c r="V292" s="70" t="s">
        <v>544</v>
      </c>
      <c r="W292" s="70" t="s">
        <v>708</v>
      </c>
      <c r="X292" s="70" t="s">
        <v>546</v>
      </c>
      <c r="Y292" s="80">
        <v>-304500</v>
      </c>
      <c r="Z292" s="70" t="s">
        <v>709</v>
      </c>
      <c r="AA292" s="253" t="str">
        <f t="shared" si="36"/>
        <v>無預算</v>
      </c>
    </row>
    <row r="293" spans="18:27" ht="16.5" customHeight="1">
      <c r="R293" s="68" t="s">
        <v>694</v>
      </c>
      <c r="S293" s="70" t="s">
        <v>695</v>
      </c>
      <c r="T293" s="70" t="s">
        <v>126</v>
      </c>
      <c r="U293" s="70" t="s">
        <v>656</v>
      </c>
      <c r="V293" s="70" t="s">
        <v>70</v>
      </c>
      <c r="W293" s="70" t="s">
        <v>710</v>
      </c>
      <c r="X293" s="70" t="s">
        <v>347</v>
      </c>
      <c r="Y293" s="80">
        <v>-187450</v>
      </c>
      <c r="Z293" s="70" t="s">
        <v>711</v>
      </c>
      <c r="AA293" s="253" t="str">
        <f t="shared" si="36"/>
        <v>115GO001SE04</v>
      </c>
    </row>
    <row r="294" spans="18:27" ht="16.5" customHeight="1">
      <c r="R294" s="68" t="s">
        <v>694</v>
      </c>
      <c r="S294" s="70" t="s">
        <v>695</v>
      </c>
      <c r="T294" s="70" t="s">
        <v>126</v>
      </c>
      <c r="U294" s="70" t="s">
        <v>656</v>
      </c>
      <c r="V294" s="70" t="s">
        <v>550</v>
      </c>
      <c r="W294" s="70" t="s">
        <v>712</v>
      </c>
      <c r="X294" s="70" t="s">
        <v>352</v>
      </c>
      <c r="Y294" s="80">
        <v>-90000</v>
      </c>
      <c r="Z294" s="70" t="s">
        <v>713</v>
      </c>
      <c r="AA294" s="253" t="str">
        <f t="shared" si="36"/>
        <v>115GO001SE99</v>
      </c>
    </row>
    <row r="295" spans="18:27" ht="16.5" customHeight="1"/>
    <row r="296" spans="18:27" ht="16.5" customHeight="1"/>
    <row r="297" spans="18:27" ht="16.5" customHeight="1"/>
    <row r="298" spans="18:27" ht="16.5" customHeight="1"/>
    <row r="299" spans="18:27" ht="16.5" customHeight="1"/>
    <row r="300" spans="18:27" ht="16.5" customHeight="1"/>
    <row r="301" spans="18:27" ht="16.5" customHeight="1"/>
    <row r="302" spans="18:27" ht="16.5" customHeight="1"/>
    <row r="303" spans="18:27" ht="16.5" customHeight="1"/>
    <row r="304" spans="18:27"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sheetData>
  <sheetProtection selectLockedCells="1" selectUnlockedCells="1"/>
  <autoFilter ref="R1:AA294" xr:uid="{115AFB92-5783-44F6-857F-EF151D493142}"/>
  <customSheetViews>
    <customSheetView guid="{35D388E4-CC07-43EA-A28A-E86A81E2BB3C}" scale="120" hiddenColumns="1" state="hidden">
      <pane ySplit="1" topLeftCell="A26" activePane="bottomLeft" state="frozen"/>
      <selection pane="bottomLeft" activeCell="B42" sqref="B42"/>
      <pageMargins left="0" right="0" top="0" bottom="0" header="0" footer="0"/>
      <pageSetup paperSize="9" orientation="portrait" r:id="rId1"/>
    </customSheetView>
  </customSheetViews>
  <phoneticPr fontId="3" type="noConversion"/>
  <conditionalFormatting sqref="A41">
    <cfRule type="expression" dxfId="39" priority="100">
      <formula>$G40="離職"</formula>
    </cfRule>
  </conditionalFormatting>
  <conditionalFormatting sqref="A2:I2 B3:I3 A3:A40 B4:H39 B40">
    <cfRule type="expression" dxfId="38" priority="42">
      <formula>$G2="離職"</formula>
    </cfRule>
  </conditionalFormatting>
  <conditionalFormatting sqref="B45:H61 B67:H83 B89:H105 B111:H127 B133:H149 B155:H171">
    <cfRule type="expression" dxfId="37" priority="3">
      <formula>$G45="離職"</formula>
    </cfRule>
  </conditionalFormatting>
  <conditionalFormatting sqref="D40:F40">
    <cfRule type="expression" dxfId="36" priority="2">
      <formula>$G40="離職"</formula>
    </cfRule>
  </conditionalFormatting>
  <conditionalFormatting sqref="H40">
    <cfRule type="expression" dxfId="35" priority="1">
      <formula>$G40="離職"</formula>
    </cfRule>
  </conditionalFormatting>
  <conditionalFormatting sqref="I4:I5">
    <cfRule type="expression" dxfId="34" priority="43">
      <formula>#REF!="離職"</formula>
    </cfRule>
  </conditionalFormatting>
  <conditionalFormatting sqref="I6 A47:A63 A69:A85 A91:A107 A113:A129 A135:A151 A157:A173">
    <cfRule type="expression" dxfId="33" priority="78">
      <formula>$G4="離職"</formula>
    </cfRule>
  </conditionalFormatting>
  <conditionalFormatting sqref="I7">
    <cfRule type="expression" dxfId="32" priority="117">
      <formula>#REF!="離職"</formula>
    </cfRule>
  </conditionalFormatting>
  <conditionalFormatting sqref="I8:I13">
    <cfRule type="expression" dxfId="31" priority="37">
      <formula>$G5="離職"</formula>
    </cfRule>
  </conditionalFormatting>
  <conditionalFormatting sqref="I14">
    <cfRule type="expression" dxfId="30" priority="126">
      <formula>#REF!="離職"</formula>
    </cfRule>
  </conditionalFormatting>
  <conditionalFormatting sqref="I15:I18 I28 I38:I43 I60:I65">
    <cfRule type="expression" dxfId="29" priority="35">
      <formula>$G11="離職"</formula>
    </cfRule>
  </conditionalFormatting>
  <conditionalFormatting sqref="I19:I21">
    <cfRule type="expression" dxfId="28" priority="91">
      <formula>#REF!="離職"</formula>
    </cfRule>
  </conditionalFormatting>
  <conditionalFormatting sqref="I22:I24">
    <cfRule type="expression" dxfId="27" priority="110">
      <formula>$G16="離職"</formula>
    </cfRule>
  </conditionalFormatting>
  <conditionalFormatting sqref="I25:I27">
    <cfRule type="expression" dxfId="26" priority="45">
      <formula>#REF!="離職"</formula>
    </cfRule>
  </conditionalFormatting>
  <conditionalFormatting sqref="I29">
    <cfRule type="expression" dxfId="25" priority="102">
      <formula>#REF!="離職"</formula>
    </cfRule>
  </conditionalFormatting>
  <conditionalFormatting sqref="I30:I37 I50:I59 I72:I81">
    <cfRule type="expression" dxfId="24" priority="29">
      <formula>$G25="離職"</formula>
    </cfRule>
  </conditionalFormatting>
  <conditionalFormatting sqref="I47:I49">
    <cfRule type="expression" dxfId="23" priority="36">
      <formula>#REF!="離職"</formula>
    </cfRule>
  </conditionalFormatting>
  <conditionalFormatting sqref="I69:I71">
    <cfRule type="expression" dxfId="22" priority="30">
      <formula>#REF!="離職"</formula>
    </cfRule>
  </conditionalFormatting>
  <conditionalFormatting sqref="I82:I87">
    <cfRule type="expression" dxfId="21" priority="31">
      <formula>$G78="離職"</formula>
    </cfRule>
  </conditionalFormatting>
  <conditionalFormatting sqref="I91:I93">
    <cfRule type="expression" dxfId="20" priority="24">
      <formula>#REF!="離職"</formula>
    </cfRule>
  </conditionalFormatting>
  <conditionalFormatting sqref="I94:I103">
    <cfRule type="expression" dxfId="19" priority="23">
      <formula>$G89="離職"</formula>
    </cfRule>
  </conditionalFormatting>
  <conditionalFormatting sqref="I104:I109">
    <cfRule type="expression" dxfId="18" priority="25">
      <formula>$G100="離職"</formula>
    </cfRule>
  </conditionalFormatting>
  <conditionalFormatting sqref="I113:I115">
    <cfRule type="expression" dxfId="17" priority="18">
      <formula>#REF!="離職"</formula>
    </cfRule>
  </conditionalFormatting>
  <conditionalFormatting sqref="I116:I125">
    <cfRule type="expression" dxfId="16" priority="17">
      <formula>$G111="離職"</formula>
    </cfRule>
  </conditionalFormatting>
  <conditionalFormatting sqref="I126:I131">
    <cfRule type="expression" dxfId="15" priority="19">
      <formula>$G122="離職"</formula>
    </cfRule>
  </conditionalFormatting>
  <conditionalFormatting sqref="I135:I137">
    <cfRule type="expression" dxfId="14" priority="12">
      <formula>#REF!="離職"</formula>
    </cfRule>
  </conditionalFormatting>
  <conditionalFormatting sqref="I138:I147">
    <cfRule type="expression" dxfId="13" priority="11">
      <formula>$G133="離職"</formula>
    </cfRule>
  </conditionalFormatting>
  <conditionalFormatting sqref="I148:I153">
    <cfRule type="expression" dxfId="12" priority="13">
      <formula>$G144="離職"</formula>
    </cfRule>
  </conditionalFormatting>
  <conditionalFormatting sqref="I157:I159">
    <cfRule type="expression" dxfId="11" priority="6">
      <formula>#REF!="離職"</formula>
    </cfRule>
  </conditionalFormatting>
  <conditionalFormatting sqref="I160:I169">
    <cfRule type="expression" dxfId="10" priority="5">
      <formula>$G155="離職"</formula>
    </cfRule>
  </conditionalFormatting>
  <conditionalFormatting sqref="I170:I175">
    <cfRule type="expression" dxfId="9" priority="7">
      <formula>$G166="離職"</formula>
    </cfRule>
  </conditionalFormatting>
  <dataValidations count="1">
    <dataValidation type="list" allowBlank="1" showInputMessage="1" showErrorMessage="1" sqref="F162:F176 F52:F66 F74:F88 F96:F110 F118:F132 F140:F154 F32 F41:F44" xr:uid="{2F51849F-FF27-468F-A262-F2BB921C934F}">
      <formula1>#REF!</formula1>
    </dataValidation>
  </dataValidations>
  <pageMargins left="0.7" right="0.7" top="0.75" bottom="0.75" header="0" footer="0"/>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D94E5-0B0F-4D2E-99A6-F7A490A2447C}">
  <sheetPr codeName="工作表6">
    <pageSetUpPr fitToPage="1"/>
  </sheetPr>
  <dimension ref="A1:S30"/>
  <sheetViews>
    <sheetView showGridLines="0" tabSelected="1" view="pageBreakPreview" zoomScale="80" zoomScaleNormal="80" zoomScaleSheetLayoutView="80" workbookViewId="0">
      <selection activeCell="A4" sqref="A4"/>
    </sheetView>
  </sheetViews>
  <sheetFormatPr defaultColWidth="9" defaultRowHeight="16.2"/>
  <cols>
    <col min="1" max="1" width="4.77734375" style="28" customWidth="1"/>
    <col min="2" max="2" width="20.6640625" style="28" customWidth="1"/>
    <col min="3" max="4" width="15.6640625" style="28" customWidth="1"/>
    <col min="5" max="5" width="17" style="28" customWidth="1"/>
    <col min="6" max="6" width="25.6640625" style="28" customWidth="1"/>
    <col min="7" max="7" width="10.6640625" style="28" customWidth="1"/>
    <col min="8" max="8" width="7.44140625" style="28" bestFit="1" customWidth="1"/>
    <col min="9" max="9" width="19.33203125" style="28" customWidth="1"/>
    <col min="10" max="10" width="1.109375" style="28" customWidth="1"/>
    <col min="11" max="16" width="9" style="28"/>
    <col min="17" max="17" width="3.77734375" style="28" customWidth="1"/>
    <col min="18" max="16384" width="9" style="28"/>
  </cols>
  <sheetData>
    <row r="1" spans="1:19">
      <c r="A1" s="24" t="s">
        <v>917</v>
      </c>
      <c r="B1" s="24"/>
      <c r="C1" s="24"/>
      <c r="D1" s="25"/>
      <c r="E1" s="26"/>
      <c r="F1" s="26"/>
      <c r="G1" s="26"/>
      <c r="H1" s="26"/>
      <c r="I1" s="26"/>
      <c r="J1" s="27"/>
      <c r="K1" s="27"/>
      <c r="L1" s="27"/>
      <c r="M1" s="27"/>
      <c r="N1" s="27"/>
      <c r="O1" s="27"/>
      <c r="P1" s="27"/>
    </row>
    <row r="2" spans="1:19" ht="23.4">
      <c r="A2" s="334" t="s">
        <v>714</v>
      </c>
      <c r="B2" s="334"/>
      <c r="C2" s="334"/>
      <c r="D2" s="334"/>
      <c r="E2" s="334"/>
      <c r="F2" s="334"/>
      <c r="G2" s="334"/>
      <c r="H2" s="334"/>
      <c r="I2" s="334"/>
      <c r="J2" s="29"/>
      <c r="K2" s="27"/>
      <c r="L2" s="27"/>
      <c r="M2" s="27"/>
      <c r="N2" s="27"/>
      <c r="O2" s="27"/>
      <c r="P2" s="27"/>
    </row>
    <row r="3" spans="1:19" ht="23.4">
      <c r="A3" s="334" t="s">
        <v>715</v>
      </c>
      <c r="B3" s="334"/>
      <c r="C3" s="334"/>
      <c r="D3" s="334"/>
      <c r="E3" s="334"/>
      <c r="F3" s="334"/>
      <c r="G3" s="334"/>
      <c r="H3" s="334"/>
      <c r="I3" s="334"/>
      <c r="J3" s="29"/>
      <c r="K3" s="27"/>
      <c r="L3" s="27"/>
      <c r="M3" s="27"/>
      <c r="N3" s="27"/>
      <c r="O3" s="27"/>
      <c r="P3" s="27"/>
    </row>
    <row r="4" spans="1:19">
      <c r="A4" s="29"/>
      <c r="B4" s="29"/>
      <c r="C4" s="29"/>
      <c r="D4" s="29"/>
      <c r="E4" s="29"/>
      <c r="F4" s="29"/>
      <c r="G4" s="29"/>
      <c r="H4" s="29"/>
      <c r="I4" s="29"/>
      <c r="J4" s="29"/>
      <c r="K4" s="27"/>
      <c r="L4" s="27"/>
      <c r="M4" s="27"/>
      <c r="N4" s="27"/>
      <c r="O4" s="27"/>
      <c r="P4" s="27"/>
    </row>
    <row r="5" spans="1:19" ht="30.75" customHeight="1" thickBot="1">
      <c r="A5" s="283" t="s">
        <v>716</v>
      </c>
      <c r="B5" s="283"/>
      <c r="C5" s="379">
        <f ca="1">NOW()</f>
        <v>46212.465342824071</v>
      </c>
      <c r="D5" s="379"/>
      <c r="E5" s="136"/>
      <c r="F5" s="21" t="s">
        <v>717</v>
      </c>
      <c r="G5" s="5" t="str">
        <f>_xlfn.XLOOKUP(G6,link!B:B,link!E:E,"")</f>
        <v>AD</v>
      </c>
      <c r="H5" s="406" t="str">
        <f>_xlfn.XLOOKUP(G6,link!B:B,link!D:D,"")</f>
        <v>管理部</v>
      </c>
      <c r="I5" s="406"/>
      <c r="J5" s="31"/>
      <c r="K5" s="27"/>
      <c r="L5" s="27"/>
      <c r="M5" s="27"/>
      <c r="N5" s="27"/>
      <c r="O5" s="27"/>
      <c r="P5" s="27"/>
    </row>
    <row r="6" spans="1:19" ht="30.75" customHeight="1" thickTop="1" thickBot="1">
      <c r="A6" s="378" t="s">
        <v>718</v>
      </c>
      <c r="B6" s="378"/>
      <c r="C6" s="380" t="s">
        <v>719</v>
      </c>
      <c r="D6" s="381"/>
      <c r="E6" s="84" t="s">
        <v>122</v>
      </c>
      <c r="F6" s="21" t="s">
        <v>720</v>
      </c>
      <c r="G6" s="125" t="s">
        <v>916</v>
      </c>
      <c r="H6" s="407" t="str">
        <f>_xlfn.XLOOKUP(G6,link!B:B,link!C:C,"查無此人")</f>
        <v>李盈萱</v>
      </c>
      <c r="I6" s="408"/>
      <c r="J6" s="29"/>
      <c r="K6" s="27"/>
      <c r="L6" s="27"/>
      <c r="M6" s="27"/>
      <c r="N6" s="27"/>
      <c r="O6" s="27"/>
      <c r="P6" s="27"/>
      <c r="S6" s="99" t="s">
        <v>721</v>
      </c>
    </row>
    <row r="7" spans="1:19" ht="30.75" customHeight="1" thickTop="1" thickBot="1">
      <c r="A7" s="33"/>
      <c r="B7" s="33"/>
      <c r="C7" s="33"/>
      <c r="D7" s="30"/>
      <c r="E7" s="124"/>
      <c r="F7" s="21" t="s">
        <v>722</v>
      </c>
      <c r="G7" s="127">
        <v>30</v>
      </c>
      <c r="H7" s="409">
        <f ca="1">C5+G7</f>
        <v>46242.465342824071</v>
      </c>
      <c r="I7" s="410"/>
      <c r="J7" s="31"/>
      <c r="K7" s="27"/>
      <c r="L7" s="384" t="s">
        <v>723</v>
      </c>
      <c r="M7" s="385"/>
      <c r="N7" s="385"/>
      <c r="O7" s="385"/>
      <c r="P7" s="386"/>
      <c r="S7" s="99" t="s">
        <v>724</v>
      </c>
    </row>
    <row r="8" spans="1:19" ht="16.5" customHeight="1" thickTop="1" thickBot="1">
      <c r="A8" s="33"/>
      <c r="B8" s="33"/>
      <c r="C8" s="33"/>
      <c r="D8" s="30"/>
      <c r="E8" s="115"/>
      <c r="F8" s="118"/>
      <c r="G8" s="34"/>
      <c r="H8" s="34"/>
      <c r="I8" s="34"/>
      <c r="J8" s="31"/>
      <c r="K8" s="27"/>
      <c r="L8" s="27"/>
      <c r="M8" s="27"/>
      <c r="N8" s="27"/>
      <c r="O8" s="27"/>
      <c r="P8" s="27"/>
      <c r="S8" s="99" t="s">
        <v>725</v>
      </c>
    </row>
    <row r="9" spans="1:19" ht="43.5" customHeight="1" thickBot="1">
      <c r="A9" s="148" t="s">
        <v>726</v>
      </c>
      <c r="B9" s="149" t="s">
        <v>727</v>
      </c>
      <c r="C9" s="150" t="s">
        <v>728</v>
      </c>
      <c r="D9" s="151" t="s">
        <v>729</v>
      </c>
      <c r="E9" s="152" t="s">
        <v>730</v>
      </c>
      <c r="F9" s="399" t="s">
        <v>731</v>
      </c>
      <c r="G9" s="400"/>
      <c r="H9" s="153" t="s">
        <v>732</v>
      </c>
      <c r="I9" s="286" t="s">
        <v>733</v>
      </c>
      <c r="J9" s="287"/>
      <c r="K9" s="27"/>
      <c r="L9" s="387" t="s">
        <v>734</v>
      </c>
      <c r="M9" s="387"/>
      <c r="N9" s="387"/>
      <c r="O9" s="387"/>
      <c r="P9" s="387"/>
      <c r="Q9" s="37"/>
    </row>
    <row r="10" spans="1:19" ht="60" customHeight="1" thickTop="1">
      <c r="A10" s="119">
        <v>1</v>
      </c>
      <c r="B10" s="121"/>
      <c r="C10" s="154" t="str">
        <f>IF(_xlfn.XLOOKUP(B10,link!AC:AC,link!AD:AD)=0,"",_xlfn.XLOOKUP(B10,link!AC:AC,link!AD:AD))</f>
        <v/>
      </c>
      <c r="D10" s="132"/>
      <c r="E10" s="249" t="str">
        <f>IF(D10="","",_xlfn.XLOOKUP($C$10&amp;$B$10&amp;D10,link!Z:Z,link!AA:AA,"無預算"))</f>
        <v/>
      </c>
      <c r="F10" s="382"/>
      <c r="G10" s="383"/>
      <c r="H10" s="38"/>
      <c r="I10" s="430"/>
      <c r="J10" s="431"/>
      <c r="K10" s="27"/>
      <c r="L10" s="387"/>
      <c r="M10" s="387"/>
      <c r="N10" s="387"/>
      <c r="O10" s="387"/>
      <c r="P10" s="387"/>
      <c r="Q10" s="37"/>
    </row>
    <row r="11" spans="1:19" ht="60" customHeight="1">
      <c r="A11" s="119">
        <v>2</v>
      </c>
      <c r="B11" s="122"/>
      <c r="C11" s="154" t="str">
        <f>IF(_xlfn.XLOOKUP(B11,link!AC:AC,link!AD:AD)=0,"",_xlfn.XLOOKUP(B11,link!AC:AC,link!AD:AD))</f>
        <v/>
      </c>
      <c r="D11" s="133"/>
      <c r="E11" s="249" t="str">
        <f>IF(D11="","",_xlfn.XLOOKUP($C$11&amp;$B$11&amp;D11,link!Z:Z,link!AA:AA,"無預算"))</f>
        <v/>
      </c>
      <c r="F11" s="370"/>
      <c r="G11" s="371"/>
      <c r="H11" s="39"/>
      <c r="I11" s="432"/>
      <c r="J11" s="433"/>
      <c r="K11" s="27"/>
      <c r="L11" s="387"/>
      <c r="M11" s="387"/>
      <c r="N11" s="387"/>
      <c r="O11" s="387"/>
      <c r="P11" s="387"/>
      <c r="Q11" s="37"/>
    </row>
    <row r="12" spans="1:19" ht="60" customHeight="1">
      <c r="A12" s="119">
        <v>3</v>
      </c>
      <c r="B12" s="122"/>
      <c r="C12" s="154" t="str">
        <f>IF(_xlfn.XLOOKUP(B12,link!AC:AC,link!AD:AD)=0,"",_xlfn.XLOOKUP(B12,link!AC:AC,link!AD:AD))</f>
        <v/>
      </c>
      <c r="D12" s="133"/>
      <c r="E12" s="249" t="str">
        <f>IF(D12="","",_xlfn.XLOOKUP($C$12&amp;$B$12&amp;D12,link!Z:Z,link!AA:AA,"無預算"))</f>
        <v/>
      </c>
      <c r="F12" s="370"/>
      <c r="G12" s="371"/>
      <c r="H12" s="39"/>
      <c r="I12" s="432"/>
      <c r="J12" s="433"/>
      <c r="K12" s="27"/>
      <c r="L12" s="186"/>
      <c r="M12" s="40"/>
      <c r="N12" s="40"/>
      <c r="O12" s="40"/>
      <c r="P12" s="40"/>
      <c r="Q12" s="37"/>
    </row>
    <row r="13" spans="1:19" ht="60" customHeight="1">
      <c r="A13" s="119">
        <v>4</v>
      </c>
      <c r="B13" s="122"/>
      <c r="C13" s="154" t="str">
        <f>IF(_xlfn.XLOOKUP(B13,link!AC:AC,link!AD:AD)=0,"",_xlfn.XLOOKUP(B13,link!AC:AC,link!AD:AD))</f>
        <v/>
      </c>
      <c r="D13" s="133"/>
      <c r="E13" s="249" t="str">
        <f>IF(D13="","",_xlfn.XLOOKUP($C$13&amp;$B$13&amp;D13,link!Z:Z,link!AA:AA,"無預算"))</f>
        <v/>
      </c>
      <c r="F13" s="370"/>
      <c r="G13" s="371"/>
      <c r="H13" s="39"/>
      <c r="I13" s="432"/>
      <c r="J13" s="433"/>
      <c r="K13" s="27"/>
      <c r="L13" s="41"/>
      <c r="M13" s="41"/>
      <c r="N13" s="41"/>
      <c r="O13" s="41"/>
      <c r="P13" s="41"/>
      <c r="Q13" s="37"/>
    </row>
    <row r="14" spans="1:19" ht="60" customHeight="1">
      <c r="A14" s="119">
        <v>5</v>
      </c>
      <c r="B14" s="122"/>
      <c r="C14" s="154" t="str">
        <f>IF(_xlfn.XLOOKUP(B14,link!AC:AC,link!AD:AD)=0,"",_xlfn.XLOOKUP(B14,link!AC:AC,link!AD:AD))</f>
        <v/>
      </c>
      <c r="D14" s="133"/>
      <c r="E14" s="249" t="str">
        <f>IF(D14="","",_xlfn.XLOOKUP($C$14&amp;$B$14&amp;D14,link!Z:Z,link!AA:AA,"無預算"))</f>
        <v/>
      </c>
      <c r="F14" s="370"/>
      <c r="G14" s="371"/>
      <c r="H14" s="39"/>
      <c r="I14" s="432"/>
      <c r="J14" s="433"/>
      <c r="K14" s="27"/>
      <c r="L14" s="41"/>
      <c r="M14" s="41"/>
      <c r="N14" s="41"/>
      <c r="O14" s="41"/>
      <c r="P14" s="41"/>
      <c r="Q14" s="37"/>
    </row>
    <row r="15" spans="1:19" ht="60" customHeight="1" thickBot="1">
      <c r="A15" s="119">
        <v>6</v>
      </c>
      <c r="B15" s="123"/>
      <c r="C15" s="154" t="str">
        <f>IF(_xlfn.XLOOKUP(B15,link!AC:AC,link!AD:AD)=0,"",_xlfn.XLOOKUP(B15,link!AC:AC,link!AD:AD))</f>
        <v/>
      </c>
      <c r="D15" s="134"/>
      <c r="E15" s="249" t="str">
        <f>IF(D15="","",_xlfn.XLOOKUP($C$15&amp;$B$15&amp;D15,link!Z:Z,link!AA:AA,"無預算"))</f>
        <v/>
      </c>
      <c r="F15" s="401"/>
      <c r="G15" s="402"/>
      <c r="H15" s="188"/>
      <c r="I15" s="376"/>
      <c r="J15" s="377"/>
      <c r="K15" s="27"/>
      <c r="L15" s="27"/>
      <c r="M15" s="27"/>
      <c r="N15" s="27"/>
      <c r="O15" s="27"/>
      <c r="P15" s="27"/>
    </row>
    <row r="16" spans="1:19" ht="45" customHeight="1" thickTop="1" thickBot="1">
      <c r="A16" s="314" t="s">
        <v>735</v>
      </c>
      <c r="B16" s="372"/>
      <c r="C16" s="372"/>
      <c r="D16" s="372"/>
      <c r="E16" s="372"/>
      <c r="F16" s="372"/>
      <c r="G16" s="311"/>
      <c r="H16" s="156" t="s">
        <v>736</v>
      </c>
      <c r="I16" s="394" t="str">
        <f>IF(SUM(I10:I15)-ROUNDDOWN(SUM(I10:I15),0)&gt;0,TEXT(SUM(I10:I15),"#,##0.00"),TEXT(SUM(I10:I15),"#,##0"))</f>
        <v>0</v>
      </c>
      <c r="J16" s="395"/>
      <c r="K16" s="27"/>
      <c r="L16" s="27"/>
      <c r="M16" s="27"/>
      <c r="N16" s="27"/>
      <c r="O16" s="27"/>
      <c r="P16" s="27"/>
    </row>
    <row r="17" spans="1:16" ht="52.5" customHeight="1" thickBot="1">
      <c r="A17" s="155" t="s">
        <v>737</v>
      </c>
      <c r="B17" s="403"/>
      <c r="C17" s="404"/>
      <c r="D17" s="404"/>
      <c r="E17" s="404"/>
      <c r="F17" s="404"/>
      <c r="G17" s="404"/>
      <c r="H17" s="404"/>
      <c r="I17" s="404"/>
      <c r="J17" s="405"/>
      <c r="K17" s="27"/>
      <c r="L17" s="27"/>
      <c r="M17" s="27"/>
      <c r="N17" s="27"/>
      <c r="O17" s="27"/>
      <c r="P17" s="27"/>
    </row>
    <row r="18" spans="1:16" s="101" customFormat="1" ht="35.25" hidden="1" customHeight="1" thickBot="1">
      <c r="A18" s="414" t="s">
        <v>738</v>
      </c>
      <c r="B18" s="415"/>
      <c r="C18" s="415"/>
      <c r="D18" s="415"/>
      <c r="E18" s="415"/>
      <c r="F18" s="415"/>
      <c r="G18" s="415"/>
      <c r="H18" s="415"/>
      <c r="I18" s="415"/>
      <c r="J18" s="416"/>
      <c r="K18" s="100"/>
      <c r="L18" s="100"/>
      <c r="M18" s="100"/>
      <c r="N18" s="100"/>
      <c r="O18" s="100"/>
      <c r="P18" s="100"/>
    </row>
    <row r="19" spans="1:16" s="101" customFormat="1" ht="35.25" hidden="1" customHeight="1" thickTop="1" thickBot="1">
      <c r="A19" s="417" t="s">
        <v>739</v>
      </c>
      <c r="B19" s="418"/>
      <c r="C19" s="418"/>
      <c r="D19" s="418"/>
      <c r="E19" s="419"/>
      <c r="F19" s="396"/>
      <c r="G19" s="397"/>
      <c r="H19" s="397"/>
      <c r="I19" s="397"/>
      <c r="J19" s="398"/>
      <c r="K19" s="100"/>
      <c r="L19" s="100"/>
      <c r="M19" s="100"/>
      <c r="N19" s="100"/>
      <c r="O19" s="100"/>
      <c r="P19" s="100"/>
    </row>
    <row r="20" spans="1:16" s="221" customFormat="1" ht="35.25" customHeight="1">
      <c r="A20" s="391" t="s">
        <v>740</v>
      </c>
      <c r="B20" s="392"/>
      <c r="C20" s="392"/>
      <c r="D20" s="392"/>
      <c r="E20" s="392"/>
      <c r="F20" s="392"/>
      <c r="G20" s="392"/>
      <c r="H20" s="392"/>
      <c r="I20" s="392"/>
      <c r="J20" s="393"/>
      <c r="K20" s="220"/>
      <c r="L20" s="220"/>
      <c r="M20" s="220"/>
      <c r="N20" s="220"/>
      <c r="O20" s="220"/>
      <c r="P20" s="220"/>
    </row>
    <row r="21" spans="1:16" s="190" customFormat="1" ht="35.25" customHeight="1">
      <c r="A21" s="388" t="s">
        <v>741</v>
      </c>
      <c r="B21" s="389"/>
      <c r="C21" s="389"/>
      <c r="D21" s="389"/>
      <c r="E21" s="389"/>
      <c r="F21" s="389"/>
      <c r="G21" s="389"/>
      <c r="H21" s="389"/>
      <c r="I21" s="389"/>
      <c r="J21" s="390"/>
      <c r="K21" s="189"/>
      <c r="L21" s="189"/>
      <c r="M21" s="189"/>
      <c r="N21" s="189"/>
      <c r="O21" s="189"/>
      <c r="P21" s="189"/>
    </row>
    <row r="22" spans="1:16" s="217" customFormat="1" ht="30" customHeight="1">
      <c r="A22" s="373" t="s">
        <v>742</v>
      </c>
      <c r="B22" s="374"/>
      <c r="C22" s="374"/>
      <c r="D22" s="374"/>
      <c r="E22" s="374"/>
      <c r="F22" s="374"/>
      <c r="G22" s="374"/>
      <c r="H22" s="374"/>
      <c r="I22" s="374"/>
      <c r="J22" s="375"/>
      <c r="K22" s="216"/>
      <c r="L22" s="216"/>
      <c r="M22" s="216"/>
      <c r="N22" s="216"/>
      <c r="O22" s="216"/>
      <c r="P22" s="216"/>
    </row>
    <row r="23" spans="1:16" s="217" customFormat="1" ht="30" customHeight="1" thickBot="1">
      <c r="A23" s="373" t="s">
        <v>743</v>
      </c>
      <c r="B23" s="374"/>
      <c r="C23" s="374"/>
      <c r="D23" s="374"/>
      <c r="E23" s="374"/>
      <c r="F23" s="374"/>
      <c r="G23" s="374"/>
      <c r="H23" s="374"/>
      <c r="I23" s="374"/>
      <c r="J23" s="375"/>
      <c r="K23" s="216"/>
      <c r="L23" s="216"/>
      <c r="M23" s="216"/>
      <c r="N23" s="216"/>
      <c r="O23" s="216"/>
      <c r="P23" s="216"/>
    </row>
    <row r="24" spans="1:16" ht="30.75" customHeight="1">
      <c r="A24" s="420" t="s">
        <v>744</v>
      </c>
      <c r="B24" s="293"/>
      <c r="C24" s="421" t="s">
        <v>745</v>
      </c>
      <c r="D24" s="292"/>
      <c r="E24" s="292"/>
      <c r="F24" s="152" t="s">
        <v>746</v>
      </c>
      <c r="G24" s="423" t="s">
        <v>747</v>
      </c>
      <c r="H24" s="423"/>
      <c r="I24" s="426" t="s">
        <v>748</v>
      </c>
      <c r="J24" s="427"/>
      <c r="K24" s="27"/>
      <c r="L24" s="27"/>
      <c r="M24" s="27"/>
      <c r="N24" s="27"/>
      <c r="O24" s="27"/>
      <c r="P24" s="27"/>
    </row>
    <row r="25" spans="1:16" ht="23.25" customHeight="1">
      <c r="A25" s="315" t="e">
        <f>IF(AND(E25="沈大維",F25="沈大維",G25="沈大維"),"沈大維+陳維隆",IF(SUM(I10:I15)&gt;=100000,"沈大維+陳維隆","沈大維"))</f>
        <v>#N/A</v>
      </c>
      <c r="B25" s="316"/>
      <c r="C25" s="61" t="e">
        <f>_xlfn.XLOOKUP(C12,link!AD:AD,link!AE:AE)</f>
        <v>#N/A</v>
      </c>
      <c r="D25" s="61" t="e">
        <f>_xlfn.XLOOKUP(C11,link!AD:AD,link!AE:AE)</f>
        <v>#N/A</v>
      </c>
      <c r="E25" s="116" t="e">
        <f>_xlfn.XLOOKUP(C10,link!AD:AD,link!AE:AE)</f>
        <v>#N/A</v>
      </c>
      <c r="F25" s="61" t="str">
        <f>_xlfn.XLOOKUP(G6,link!B:B,link!F:F,"")</f>
        <v>吳旭東</v>
      </c>
      <c r="G25" s="319" t="str">
        <f>H6</f>
        <v>李盈萱</v>
      </c>
      <c r="H25" s="319"/>
      <c r="I25" s="428"/>
      <c r="J25" s="429"/>
      <c r="K25" s="27"/>
      <c r="L25" s="187"/>
      <c r="M25" s="27"/>
      <c r="N25" s="27"/>
      <c r="O25" s="27"/>
      <c r="P25" s="27"/>
    </row>
    <row r="26" spans="1:16" ht="60" customHeight="1">
      <c r="A26" s="312"/>
      <c r="B26" s="307"/>
      <c r="C26" s="129"/>
      <c r="D26" s="128"/>
      <c r="E26" s="129"/>
      <c r="F26" s="319"/>
      <c r="G26" s="319"/>
      <c r="H26" s="319"/>
      <c r="I26" s="317"/>
      <c r="J26" s="354"/>
      <c r="K26" s="27"/>
      <c r="L26" s="27"/>
      <c r="M26" s="27"/>
      <c r="N26" s="27"/>
      <c r="O26" s="27"/>
      <c r="P26" s="27"/>
    </row>
    <row r="27" spans="1:16" ht="23.25" customHeight="1">
      <c r="A27" s="313"/>
      <c r="B27" s="309"/>
      <c r="C27" s="129" t="e">
        <f>_xlfn.XLOOKUP(C15,link!AD:AD,link!AE:AE)</f>
        <v>#N/A</v>
      </c>
      <c r="D27" s="128" t="e">
        <f>_xlfn.XLOOKUP(C14,link!AD:AD,link!AE:AE)</f>
        <v>#N/A</v>
      </c>
      <c r="E27" s="129" t="e">
        <f>_xlfn.XLOOKUP(C13,link!AD:AD,link!AE:AE)</f>
        <v>#N/A</v>
      </c>
      <c r="F27" s="319"/>
      <c r="G27" s="319"/>
      <c r="H27" s="319"/>
      <c r="I27" s="317"/>
      <c r="J27" s="354"/>
      <c r="K27" s="27"/>
      <c r="L27" s="27"/>
      <c r="M27" s="27"/>
      <c r="N27" s="27"/>
      <c r="O27" s="27"/>
      <c r="P27" s="27"/>
    </row>
    <row r="28" spans="1:16" ht="60" customHeight="1" thickBot="1">
      <c r="A28" s="314"/>
      <c r="B28" s="311"/>
      <c r="C28" s="157"/>
      <c r="D28" s="158"/>
      <c r="E28" s="157"/>
      <c r="F28" s="422"/>
      <c r="G28" s="422"/>
      <c r="H28" s="422"/>
      <c r="I28" s="424"/>
      <c r="J28" s="425"/>
      <c r="K28" s="27"/>
      <c r="L28" s="27"/>
      <c r="M28" s="27"/>
      <c r="N28" s="27"/>
      <c r="O28" s="27"/>
      <c r="P28" s="27"/>
    </row>
    <row r="29" spans="1:16" ht="24.75" customHeight="1" thickBot="1">
      <c r="A29" s="411" t="s">
        <v>749</v>
      </c>
      <c r="B29" s="412"/>
      <c r="C29" s="412"/>
      <c r="D29" s="412"/>
      <c r="E29" s="412"/>
      <c r="F29" s="412"/>
      <c r="G29" s="412"/>
      <c r="H29" s="412"/>
      <c r="I29" s="412"/>
      <c r="J29" s="413"/>
      <c r="K29" s="27"/>
      <c r="L29" s="27"/>
      <c r="M29" s="27"/>
      <c r="N29" s="27"/>
      <c r="O29" s="27"/>
      <c r="P29" s="27"/>
    </row>
    <row r="30" spans="1:16">
      <c r="A30" s="42"/>
      <c r="B30" s="42"/>
      <c r="C30" s="42"/>
      <c r="D30" s="29"/>
      <c r="E30" s="29"/>
      <c r="F30" s="29"/>
      <c r="G30" s="29"/>
      <c r="H30" s="29"/>
      <c r="I30" s="29"/>
    </row>
  </sheetData>
  <sheetProtection algorithmName="SHA-512" hashValue="1HYJkTAuEK8Cznmn+y2i6ALGeIMVt8dEme31GeKbTyHvaKugmVvYyrRTppGRZQvCir8OD77IHSuQB4ql3lmNFw==" saltValue="B0vtziRRk8cbCf8vuZa8oQ==" spinCount="100000" sheet="1" formatCells="0" formatRows="0" selectLockedCells="1"/>
  <protectedRanges>
    <protectedRange sqref="C6 E6 G6:G7 B10:B15 D10:D15 F10:I15 B17" name="範圍2"/>
  </protectedRanges>
  <dataConsolidate/>
  <customSheetViews>
    <customSheetView guid="{35D388E4-CC07-43EA-A28A-E86A81E2BB3C}" scale="80" fitToPage="1" printArea="1">
      <selection activeCell="J7" sqref="J7:N7"/>
      <pageMargins left="0" right="0" top="0" bottom="0" header="0" footer="0"/>
      <printOptions horizontalCentered="1"/>
      <pageSetup paperSize="9" scale="95" orientation="portrait" r:id="rId1"/>
      <headerFooter>
        <oddHeader>&amp;L&amp;"標楷體,標準"&amp;10表單編號：CP1011_V1.0</oddHeader>
      </headerFooter>
    </customSheetView>
  </customSheetViews>
  <mergeCells count="46">
    <mergeCell ref="I10:J10"/>
    <mergeCell ref="I11:J11"/>
    <mergeCell ref="I12:J12"/>
    <mergeCell ref="I13:J13"/>
    <mergeCell ref="I14:J14"/>
    <mergeCell ref="A29:J29"/>
    <mergeCell ref="A18:J18"/>
    <mergeCell ref="A19:E19"/>
    <mergeCell ref="A24:B24"/>
    <mergeCell ref="A25:B25"/>
    <mergeCell ref="A23:J23"/>
    <mergeCell ref="A26:B28"/>
    <mergeCell ref="C24:E24"/>
    <mergeCell ref="F26:F28"/>
    <mergeCell ref="G24:H24"/>
    <mergeCell ref="G25:H25"/>
    <mergeCell ref="G26:H28"/>
    <mergeCell ref="I26:J28"/>
    <mergeCell ref="I24:J25"/>
    <mergeCell ref="L7:P7"/>
    <mergeCell ref="A2:I2"/>
    <mergeCell ref="A3:I3"/>
    <mergeCell ref="L9:P11"/>
    <mergeCell ref="A21:J21"/>
    <mergeCell ref="A20:J20"/>
    <mergeCell ref="I9:J9"/>
    <mergeCell ref="I16:J16"/>
    <mergeCell ref="F19:J19"/>
    <mergeCell ref="F9:G9"/>
    <mergeCell ref="F14:G14"/>
    <mergeCell ref="F15:G15"/>
    <mergeCell ref="B17:J17"/>
    <mergeCell ref="H5:I5"/>
    <mergeCell ref="H6:I6"/>
    <mergeCell ref="H7:I7"/>
    <mergeCell ref="A5:B5"/>
    <mergeCell ref="A6:B6"/>
    <mergeCell ref="C5:D5"/>
    <mergeCell ref="C6:D6"/>
    <mergeCell ref="F10:G10"/>
    <mergeCell ref="F11:G11"/>
    <mergeCell ref="F12:G12"/>
    <mergeCell ref="F13:G13"/>
    <mergeCell ref="A16:G16"/>
    <mergeCell ref="A22:J22"/>
    <mergeCell ref="I15:J15"/>
  </mergeCells>
  <phoneticPr fontId="3" type="noConversion"/>
  <conditionalFormatting sqref="F10:I15">
    <cfRule type="expression" dxfId="8" priority="1">
      <formula>$E10="無預算"</formula>
    </cfRule>
  </conditionalFormatting>
  <dataValidations xWindow="135" yWindow="538" count="7">
    <dataValidation type="decimal" imeMode="off" allowBlank="1" showInputMessage="1" showErrorMessage="1" promptTitle="到貨天數" prompt="若希望30天內到貨，請輸入30" sqref="G7" xr:uid="{EE3D8098-FBD3-478F-9016-23264D96A4B5}">
      <formula1>3</formula1>
      <formula2>360</formula2>
    </dataValidation>
    <dataValidation imeMode="off" allowBlank="1" showInputMessage="1" showErrorMessage="1" promptTitle="預估金額" prompt="這個採購預計會花多少錢? 非最終成交金額" sqref="I10" xr:uid="{9F1B071D-02DD-42DD-8B89-7AA96ABEC653}"/>
    <dataValidation type="list" allowBlank="1" showInputMessage="1" showErrorMessage="1" sqref="A19:C19 A21:C23 A20:J20" xr:uid="{FF41C714-7890-43A7-BBD1-B026A2B8C5DB}">
      <formula1>$S$6:$S$9</formula1>
    </dataValidation>
    <dataValidation allowBlank="1" showInputMessage="1" showErrorMessage="1" promptTitle="找財會" prompt="索取單號" sqref="C6" xr:uid="{BB757BDA-90EB-4164-A803-9A5D25D96881}"/>
    <dataValidation type="list" allowBlank="1" showInputMessage="1" showErrorMessage="1" sqref="E6" xr:uid="{E7BC4AC6-5A50-4563-90E4-66DF70BBE814}">
      <formula1>"A1,A2,A3,A4,A5"</formula1>
    </dataValidation>
    <dataValidation allowBlank="1" showErrorMessage="1" promptTitle="預算來源" prompt="請用選單選取適當預算來源，未找到對應預算來源請確認已完成預算申請。" sqref="C10:C15 E7:F7" xr:uid="{F19DF1DC-9FBC-403D-8FDD-47F8F5758F11}"/>
    <dataValidation imeMode="off" allowBlank="1" showInputMessage="1" showErrorMessage="1" promptTitle="預估金額" prompt="這個採購預計會花多少錢? 非價格" sqref="I11:I15" xr:uid="{18164936-7689-47E1-A47D-E4FA0167D936}"/>
  </dataValidations>
  <printOptions horizontalCentered="1"/>
  <pageMargins left="0.22" right="0.15748031496062992" top="0.56000000000000005" bottom="0.19685039370078741" header="0.19685039370078741" footer="0.19685039370078741"/>
  <pageSetup paperSize="9" scale="72" orientation="portrait" cellComments="asDisplayed" r:id="rId2"/>
  <extLst>
    <ext xmlns:x14="http://schemas.microsoft.com/office/spreadsheetml/2009/9/main" uri="{CCE6A557-97BC-4b89-ADB6-D9C93CAAB3DF}">
      <x14:dataValidations xmlns:xm="http://schemas.microsoft.com/office/excel/2006/main" xWindow="135" yWindow="538" count="2">
        <x14:dataValidation type="list" allowBlank="1" showInputMessage="1" showErrorMessage="1" xr:uid="{F3ACCD10-F8C2-41E6-9698-4FEDBEDE4FA2}">
          <x14:formula1>
            <xm:f>link!$AG$2:$AG$33</xm:f>
          </x14:formula1>
          <xm:sqref>D10:D15</xm:sqref>
        </x14:dataValidation>
        <x14:dataValidation type="list" allowBlank="1" showInputMessage="1" showErrorMessage="1" promptTitle="預算來源" prompt="請用選單選取適當預算來源，未找到對應預算來源請確認已完成預算申請。" xr:uid="{D763701B-7134-4C8D-9C24-4911AF70CA7E}">
          <x14:formula1>
            <xm:f>link!$AI$1:$AI$22</xm:f>
          </x14:formula1>
          <xm:sqref>B10:B15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4B6EA-86B4-4D17-B0F7-4EA871F21075}">
  <sheetPr codeName="工作表5"/>
  <dimension ref="A1:G5"/>
  <sheetViews>
    <sheetView workbookViewId="0">
      <selection activeCell="D3" sqref="D3:D5"/>
    </sheetView>
  </sheetViews>
  <sheetFormatPr defaultColWidth="9" defaultRowHeight="13.8"/>
  <cols>
    <col min="1" max="1" width="9" style="95"/>
    <col min="2" max="2" width="18.88671875" style="95" bestFit="1" customWidth="1"/>
    <col min="3" max="3" width="24.109375" style="95" bestFit="1" customWidth="1"/>
    <col min="4" max="4" width="27.44140625" style="95" customWidth="1"/>
    <col min="5" max="16384" width="9" style="95"/>
  </cols>
  <sheetData>
    <row r="1" spans="1:7">
      <c r="A1" s="43" t="s">
        <v>750</v>
      </c>
      <c r="B1" s="54" t="s">
        <v>751</v>
      </c>
      <c r="C1" s="54" t="s">
        <v>752</v>
      </c>
      <c r="D1" s="43" t="s">
        <v>753</v>
      </c>
      <c r="F1" s="43"/>
      <c r="G1" s="43"/>
    </row>
    <row r="2" spans="1:7">
      <c r="A2" s="95" t="s">
        <v>754</v>
      </c>
      <c r="B2" s="95" t="s">
        <v>755</v>
      </c>
      <c r="C2" s="95" t="s">
        <v>756</v>
      </c>
      <c r="D2" s="95" t="s">
        <v>757</v>
      </c>
    </row>
    <row r="3" spans="1:7">
      <c r="A3" s="95" t="s">
        <v>758</v>
      </c>
      <c r="B3" s="95" t="s">
        <v>755</v>
      </c>
      <c r="C3" s="95" t="s">
        <v>756</v>
      </c>
      <c r="D3" s="95" t="s">
        <v>759</v>
      </c>
    </row>
    <row r="4" spans="1:7" ht="16.2">
      <c r="A4" s="95" t="s">
        <v>760</v>
      </c>
      <c r="B4" s="95" t="s">
        <v>755</v>
      </c>
      <c r="C4" t="s">
        <v>761</v>
      </c>
      <c r="D4" s="95" t="s">
        <v>759</v>
      </c>
    </row>
    <row r="5" spans="1:7" ht="16.2">
      <c r="A5" s="95" t="s">
        <v>762</v>
      </c>
      <c r="B5" s="95" t="s">
        <v>755</v>
      </c>
      <c r="C5" t="s">
        <v>761</v>
      </c>
      <c r="D5" s="95" t="s">
        <v>759</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C857-DE99-4FD9-9851-BDDC984BC41B}">
  <sheetPr codeName="工作表1">
    <pageSetUpPr fitToPage="1"/>
  </sheetPr>
  <dimension ref="A1:U36"/>
  <sheetViews>
    <sheetView showGridLines="0" view="pageBreakPreview" topLeftCell="A11" zoomScale="80" zoomScaleNormal="87" zoomScaleSheetLayoutView="80" workbookViewId="0">
      <selection activeCell="M29" sqref="M29"/>
    </sheetView>
  </sheetViews>
  <sheetFormatPr defaultColWidth="9" defaultRowHeight="16.2"/>
  <cols>
    <col min="1" max="1" width="8.6640625" style="44" customWidth="1"/>
    <col min="2" max="2" width="20.109375" style="44" customWidth="1"/>
    <col min="3" max="5" width="15.6640625" style="44" customWidth="1"/>
    <col min="6" max="6" width="28.6640625" style="44" customWidth="1"/>
    <col min="7" max="7" width="5.6640625" style="44" customWidth="1"/>
    <col min="8" max="8" width="15.6640625" style="44" customWidth="1"/>
    <col min="9" max="9" width="5.6640625" style="44" customWidth="1"/>
    <col min="10" max="10" width="20.6640625" style="44" customWidth="1"/>
    <col min="11" max="11" width="1.44140625" style="44" customWidth="1"/>
    <col min="12" max="16" width="9" style="44"/>
    <col min="17" max="17" width="11" style="44" customWidth="1"/>
    <col min="18" max="16384" width="9" style="44"/>
  </cols>
  <sheetData>
    <row r="1" spans="1:21" s="14" customFormat="1" ht="15.6">
      <c r="A1" s="227" t="str">
        <f>'1.請購單'!A1</f>
        <v>20260709版</v>
      </c>
      <c r="B1" s="227"/>
      <c r="C1" s="159"/>
      <c r="D1" s="228"/>
      <c r="E1" s="228"/>
      <c r="F1" s="228"/>
      <c r="G1" s="228"/>
      <c r="H1" s="228"/>
      <c r="I1" s="228"/>
      <c r="J1" s="228"/>
      <c r="K1" s="228"/>
    </row>
    <row r="2" spans="1:21" ht="23.4">
      <c r="A2" s="334" t="s">
        <v>714</v>
      </c>
      <c r="B2" s="334"/>
      <c r="C2" s="334"/>
      <c r="D2" s="334"/>
      <c r="E2" s="334"/>
      <c r="F2" s="334"/>
      <c r="G2" s="334"/>
      <c r="H2" s="334"/>
      <c r="I2" s="334"/>
      <c r="J2" s="334"/>
      <c r="K2" s="160"/>
      <c r="L2" s="26"/>
      <c r="M2" s="26"/>
      <c r="N2" s="26"/>
      <c r="O2" s="26"/>
      <c r="P2" s="26"/>
      <c r="Q2" s="26"/>
    </row>
    <row r="3" spans="1:21" ht="23.4">
      <c r="A3" s="334" t="s">
        <v>763</v>
      </c>
      <c r="B3" s="334"/>
      <c r="C3" s="334"/>
      <c r="D3" s="334"/>
      <c r="E3" s="334"/>
      <c r="F3" s="334"/>
      <c r="G3" s="334"/>
      <c r="H3" s="334"/>
      <c r="I3" s="334"/>
      <c r="J3" s="334"/>
      <c r="K3" s="160"/>
      <c r="L3" s="26"/>
      <c r="M3" s="26"/>
      <c r="N3" s="26"/>
      <c r="O3" s="26"/>
      <c r="P3" s="26"/>
      <c r="Q3" s="26"/>
    </row>
    <row r="4" spans="1:21" s="45" customFormat="1" ht="17.100000000000001" customHeight="1" thickBot="1">
      <c r="A4" s="161"/>
      <c r="B4" s="161"/>
      <c r="C4" s="161"/>
      <c r="D4" s="161"/>
      <c r="E4" s="161"/>
      <c r="F4" s="161"/>
      <c r="G4" s="162"/>
      <c r="H4" s="163"/>
      <c r="I4" s="163"/>
      <c r="J4" s="164"/>
      <c r="K4" s="164"/>
      <c r="L4" s="25"/>
      <c r="M4" s="25"/>
      <c r="N4" s="25"/>
      <c r="O4" s="25"/>
      <c r="P4" s="25"/>
      <c r="Q4" s="25"/>
      <c r="T4" s="45" t="s">
        <v>721</v>
      </c>
    </row>
    <row r="5" spans="1:21" ht="30" customHeight="1" thickTop="1" thickBot="1">
      <c r="A5" s="283" t="s">
        <v>764</v>
      </c>
      <c r="B5" s="283"/>
      <c r="C5" s="355">
        <f ca="1">NOW()</f>
        <v>46212.465342824071</v>
      </c>
      <c r="D5" s="355"/>
      <c r="E5" s="82"/>
      <c r="F5" s="283" t="s">
        <v>765</v>
      </c>
      <c r="G5" s="283"/>
      <c r="H5" s="434"/>
      <c r="I5" s="435"/>
      <c r="J5" s="436"/>
      <c r="K5" s="14"/>
      <c r="L5" s="26"/>
      <c r="M5" s="26"/>
      <c r="N5" s="26"/>
      <c r="O5" s="26"/>
      <c r="P5" s="26"/>
      <c r="Q5" s="26"/>
      <c r="T5" s="45" t="s">
        <v>766</v>
      </c>
    </row>
    <row r="6" spans="1:21" ht="30" customHeight="1" thickTop="1" thickBot="1">
      <c r="A6" s="283" t="s">
        <v>767</v>
      </c>
      <c r="B6" s="283"/>
      <c r="C6" s="463" t="str">
        <f>'1.請購單'!C6</f>
        <v>CP115040669</v>
      </c>
      <c r="D6" s="464"/>
      <c r="E6" s="47" t="s">
        <v>123</v>
      </c>
      <c r="F6" s="465" t="s">
        <v>768</v>
      </c>
      <c r="G6" s="466"/>
      <c r="H6" s="437" t="s">
        <v>136</v>
      </c>
      <c r="I6" s="438"/>
      <c r="J6" s="439"/>
      <c r="K6" s="14"/>
      <c r="L6" s="26"/>
      <c r="M6" s="26"/>
      <c r="N6" s="26"/>
      <c r="O6" s="26"/>
      <c r="P6" s="26"/>
      <c r="Q6" s="26"/>
      <c r="T6" s="45" t="s">
        <v>769</v>
      </c>
    </row>
    <row r="7" spans="1:21" ht="30" customHeight="1" thickTop="1" thickBot="1">
      <c r="A7" s="283" t="s">
        <v>770</v>
      </c>
      <c r="B7" s="283"/>
      <c r="C7" s="406" t="str">
        <f>'1.請購單'!G5&amp;'1.請購單'!H5</f>
        <v>AD管理部</v>
      </c>
      <c r="D7" s="406"/>
      <c r="E7" s="22"/>
      <c r="F7" s="283" t="s">
        <v>771</v>
      </c>
      <c r="G7" s="283"/>
      <c r="H7" s="437" t="s">
        <v>148</v>
      </c>
      <c r="I7" s="438"/>
      <c r="J7" s="439"/>
      <c r="K7" s="14"/>
      <c r="L7" s="26"/>
      <c r="M7" s="26"/>
      <c r="N7" s="26"/>
      <c r="O7" s="26"/>
      <c r="P7" s="26"/>
      <c r="Q7" s="26"/>
      <c r="T7" s="44" t="s">
        <v>772</v>
      </c>
    </row>
    <row r="8" spans="1:21" ht="30" customHeight="1" thickTop="1" thickBot="1">
      <c r="A8" s="283" t="s">
        <v>773</v>
      </c>
      <c r="B8" s="283"/>
      <c r="C8" s="406" t="str">
        <f>'1.請購單'!G6&amp;'1.請購單'!H6</f>
        <v>0091李盈萱</v>
      </c>
      <c r="D8" s="406"/>
      <c r="E8" s="22"/>
      <c r="F8" s="283" t="s">
        <v>774</v>
      </c>
      <c r="G8" s="283"/>
      <c r="H8" s="138">
        <v>30</v>
      </c>
      <c r="I8" s="443">
        <f ca="1">C5+H8</f>
        <v>46242.465342824071</v>
      </c>
      <c r="J8" s="444"/>
      <c r="K8" s="14"/>
      <c r="L8" s="26"/>
      <c r="M8" s="26"/>
      <c r="N8" s="48"/>
      <c r="O8" s="26"/>
      <c r="P8" s="26"/>
      <c r="Q8" s="26"/>
    </row>
    <row r="9" spans="1:21" s="45" customFormat="1" ht="12" customHeight="1" thickTop="1" thickBot="1">
      <c r="A9" s="462"/>
      <c r="B9" s="462"/>
      <c r="C9" s="462"/>
      <c r="D9" s="22"/>
      <c r="E9" s="22"/>
      <c r="F9" s="49"/>
      <c r="G9" s="50"/>
      <c r="H9" s="43"/>
      <c r="I9" s="51"/>
      <c r="J9" s="52"/>
      <c r="K9" s="43"/>
      <c r="L9" s="25"/>
      <c r="M9" s="25"/>
      <c r="N9" s="25"/>
      <c r="O9" s="25"/>
      <c r="P9" s="25"/>
      <c r="Q9" s="25"/>
    </row>
    <row r="10" spans="1:21" ht="30.6" thickTop="1" thickBot="1">
      <c r="A10" s="148" t="s">
        <v>775</v>
      </c>
      <c r="B10" s="152" t="s">
        <v>727</v>
      </c>
      <c r="C10" s="149" t="s">
        <v>776</v>
      </c>
      <c r="D10" s="149" t="s">
        <v>777</v>
      </c>
      <c r="E10" s="286" t="s">
        <v>778</v>
      </c>
      <c r="F10" s="400"/>
      <c r="G10" s="153" t="s">
        <v>779</v>
      </c>
      <c r="H10" s="153" t="s">
        <v>780</v>
      </c>
      <c r="I10" s="153" t="s">
        <v>732</v>
      </c>
      <c r="J10" s="286" t="s">
        <v>781</v>
      </c>
      <c r="K10" s="287"/>
      <c r="L10" s="26"/>
      <c r="M10" s="384" t="s">
        <v>723</v>
      </c>
      <c r="N10" s="385"/>
      <c r="O10" s="385"/>
      <c r="P10" s="385"/>
      <c r="Q10" s="386"/>
    </row>
    <row r="11" spans="1:21" ht="69.900000000000006" customHeight="1" thickTop="1">
      <c r="A11" s="183">
        <v>1</v>
      </c>
      <c r="B11" s="265" t="str">
        <f>'1.請購單'!B10&amp;" "&amp;'1.請購單'!C10</f>
        <v xml:space="preserve"> </v>
      </c>
      <c r="C11" s="137" t="str">
        <f>IF('1.請購單'!D10=0,"",'1.請購單'!D10)</f>
        <v/>
      </c>
      <c r="D11" s="250" t="str">
        <f>IF('1.請購單'!E10="","",'1.請購單'!E10)</f>
        <v/>
      </c>
      <c r="E11" s="382"/>
      <c r="F11" s="383"/>
      <c r="G11" s="142"/>
      <c r="H11" s="142"/>
      <c r="I11" s="143"/>
      <c r="J11" s="467" t="str">
        <f>(IF(H11*I11=0,"",H11*I11))</f>
        <v/>
      </c>
      <c r="K11" s="468"/>
      <c r="L11" s="26"/>
      <c r="M11" s="27"/>
      <c r="N11" s="27"/>
      <c r="O11" s="27"/>
      <c r="P11" s="27"/>
      <c r="Q11" s="27"/>
    </row>
    <row r="12" spans="1:21" ht="69.900000000000006" customHeight="1">
      <c r="A12" s="184">
        <v>2</v>
      </c>
      <c r="B12" s="265" t="str">
        <f>'1.請購單'!B11&amp;" "&amp;'1.請購單'!C11</f>
        <v xml:space="preserve"> </v>
      </c>
      <c r="C12" s="137" t="str">
        <f>IF('1.請購單'!D11=0,"",'1.請購單'!D11)</f>
        <v/>
      </c>
      <c r="D12" s="250" t="str">
        <f>IF('1.請購單'!E11="","",'1.請購單'!E11)</f>
        <v/>
      </c>
      <c r="E12" s="370"/>
      <c r="F12" s="371"/>
      <c r="G12" s="144"/>
      <c r="H12" s="144"/>
      <c r="I12" s="120"/>
      <c r="J12" s="467" t="str">
        <f t="shared" ref="J12:J16" si="0">(IF(H12*I12=0,"",H12*I12))</f>
        <v/>
      </c>
      <c r="K12" s="468"/>
      <c r="L12" s="26"/>
      <c r="M12" s="448" t="s">
        <v>782</v>
      </c>
      <c r="N12" s="448"/>
      <c r="O12" s="448"/>
      <c r="P12" s="448"/>
      <c r="Q12" s="448"/>
    </row>
    <row r="13" spans="1:21" ht="69.900000000000006" customHeight="1">
      <c r="A13" s="183">
        <v>3</v>
      </c>
      <c r="B13" s="266" t="str">
        <f>'1.請購單'!B12&amp;" "&amp;'1.請購單'!C12</f>
        <v xml:space="preserve"> </v>
      </c>
      <c r="C13" s="137" t="str">
        <f>IF('1.請購單'!D12=0,"",'1.請購單'!D12)</f>
        <v/>
      </c>
      <c r="D13" s="250" t="str">
        <f>IF('1.請購單'!E12="","",'1.請購單'!E12)</f>
        <v/>
      </c>
      <c r="E13" s="370"/>
      <c r="F13" s="371"/>
      <c r="G13" s="144"/>
      <c r="H13" s="144"/>
      <c r="I13" s="120"/>
      <c r="J13" s="467" t="str">
        <f t="shared" si="0"/>
        <v/>
      </c>
      <c r="K13" s="468"/>
      <c r="L13" s="26"/>
      <c r="M13" s="448"/>
      <c r="N13" s="448"/>
      <c r="O13" s="448"/>
      <c r="P13" s="448"/>
      <c r="Q13" s="448"/>
      <c r="U13" s="53"/>
    </row>
    <row r="14" spans="1:21" ht="69.900000000000006" customHeight="1">
      <c r="A14" s="184">
        <v>4</v>
      </c>
      <c r="B14" s="265" t="str">
        <f>'1.請購單'!B13&amp;" "&amp;'1.請購單'!C13</f>
        <v xml:space="preserve"> </v>
      </c>
      <c r="C14" s="137" t="str">
        <f>IF('1.請購單'!D13=0,"",'1.請購單'!D13)</f>
        <v/>
      </c>
      <c r="D14" s="250" t="str">
        <f>IF('1.請購單'!E13="","",'1.請購單'!E13)</f>
        <v/>
      </c>
      <c r="E14" s="370"/>
      <c r="F14" s="371"/>
      <c r="G14" s="144"/>
      <c r="H14" s="144"/>
      <c r="I14" s="120"/>
      <c r="J14" s="467" t="str">
        <f t="shared" si="0"/>
        <v/>
      </c>
      <c r="K14" s="468"/>
      <c r="L14" s="26"/>
      <c r="M14" s="185"/>
      <c r="N14" s="41"/>
      <c r="O14" s="41"/>
      <c r="P14" s="41"/>
      <c r="Q14" s="41"/>
    </row>
    <row r="15" spans="1:21" ht="69.900000000000006" customHeight="1">
      <c r="A15" s="183">
        <v>5</v>
      </c>
      <c r="B15" s="266" t="str">
        <f>'1.請購單'!B14&amp;" "&amp;'1.請購單'!C14</f>
        <v xml:space="preserve"> </v>
      </c>
      <c r="C15" s="137" t="str">
        <f>IF('1.請購單'!D14=0,"",'1.請購單'!D14)</f>
        <v/>
      </c>
      <c r="D15" s="250" t="str">
        <f>IF('1.請購單'!E14="","",'1.請購單'!E14)</f>
        <v/>
      </c>
      <c r="E15" s="370"/>
      <c r="F15" s="371"/>
      <c r="G15" s="144"/>
      <c r="H15" s="144"/>
      <c r="I15" s="120"/>
      <c r="J15" s="467" t="str">
        <f t="shared" si="0"/>
        <v/>
      </c>
      <c r="K15" s="468"/>
      <c r="L15" s="26"/>
      <c r="M15" s="26"/>
      <c r="N15" s="26"/>
      <c r="O15" s="26"/>
      <c r="P15" s="26"/>
      <c r="Q15" s="26"/>
    </row>
    <row r="16" spans="1:21" ht="69.900000000000006" customHeight="1" thickBot="1">
      <c r="A16" s="184">
        <v>6</v>
      </c>
      <c r="B16" s="265" t="str">
        <f>'1.請購單'!B15&amp;" "&amp;'1.請購單'!C15</f>
        <v xml:space="preserve"> </v>
      </c>
      <c r="C16" s="137" t="str">
        <f>IF('1.請購單'!D15=0,"",'1.請購單'!D15)</f>
        <v/>
      </c>
      <c r="D16" s="250" t="str">
        <f>IF('1.請購單'!E15="","",'1.請購單'!E15)</f>
        <v/>
      </c>
      <c r="E16" s="401"/>
      <c r="F16" s="402"/>
      <c r="G16" s="145"/>
      <c r="H16" s="145"/>
      <c r="I16" s="146"/>
      <c r="J16" s="467" t="str">
        <f t="shared" si="0"/>
        <v/>
      </c>
      <c r="K16" s="468"/>
      <c r="L16" s="26"/>
      <c r="M16" s="26"/>
      <c r="N16" s="26"/>
      <c r="O16" s="26"/>
      <c r="P16" s="26"/>
      <c r="Q16" s="26"/>
    </row>
    <row r="17" spans="1:17" ht="40.35" customHeight="1" thickTop="1">
      <c r="A17" s="457" t="s">
        <v>898</v>
      </c>
      <c r="B17" s="458"/>
      <c r="C17" s="459"/>
      <c r="D17" s="459"/>
      <c r="E17" s="459"/>
      <c r="F17" s="459"/>
      <c r="G17" s="459"/>
      <c r="H17" s="459"/>
      <c r="I17" s="268" t="s">
        <v>783</v>
      </c>
      <c r="J17" s="460" t="str">
        <f>IF(SUM(J11:J16)-ROUNDDOWN(SUM(J11:J16),0)&gt;0,TEXT(SUM(J11:J16),"#,##0.00"),TEXT(SUM(J11:J16),"#,##0"))</f>
        <v>0</v>
      </c>
      <c r="K17" s="461"/>
      <c r="L17" s="26"/>
      <c r="M17" s="26"/>
      <c r="N17" s="26"/>
      <c r="O17" s="26"/>
      <c r="P17" s="26"/>
      <c r="Q17" s="26"/>
    </row>
    <row r="18" spans="1:17" ht="24" hidden="1" customHeight="1" thickTop="1" thickBot="1">
      <c r="A18" s="267" t="s">
        <v>784</v>
      </c>
      <c r="B18" s="452" t="str">
        <f>IF(J17&lt;=30000,"應檢附1家報價單",IF(J17&gt;=100000,"應檢附3家報價單","應檢附2家報價單"))</f>
        <v>應檢附3家報價單</v>
      </c>
      <c r="C18" s="453"/>
      <c r="D18" s="453"/>
      <c r="E18" s="453"/>
      <c r="F18" s="453"/>
      <c r="G18" s="453"/>
      <c r="H18" s="453"/>
      <c r="I18" s="453"/>
      <c r="J18" s="453"/>
      <c r="K18" s="454"/>
      <c r="L18" s="26"/>
      <c r="M18" s="26"/>
      <c r="N18" s="26"/>
      <c r="O18" s="26"/>
      <c r="P18" s="26"/>
      <c r="Q18" s="26"/>
    </row>
    <row r="19" spans="1:17" ht="24" hidden="1" customHeight="1" thickTop="1" thickBot="1">
      <c r="A19" s="102" t="str">
        <f>IF(A18="V","X",IF(A18="請選擇","","V"))</f>
        <v>X</v>
      </c>
      <c r="B19" s="469" t="s">
        <v>785</v>
      </c>
      <c r="C19" s="470"/>
      <c r="D19" s="470"/>
      <c r="E19" s="471"/>
      <c r="F19" s="449" t="s">
        <v>739</v>
      </c>
      <c r="G19" s="450"/>
      <c r="H19" s="450"/>
      <c r="I19" s="450"/>
      <c r="J19" s="450"/>
      <c r="K19" s="451"/>
      <c r="L19" s="26"/>
      <c r="M19" s="26"/>
      <c r="N19" s="26"/>
      <c r="O19" s="26"/>
      <c r="P19" s="26"/>
      <c r="Q19" s="26"/>
    </row>
    <row r="20" spans="1:17" ht="64.5" customHeight="1" thickBot="1">
      <c r="A20" s="346" t="s">
        <v>786</v>
      </c>
      <c r="B20" s="347"/>
      <c r="C20" s="347"/>
      <c r="D20" s="347"/>
      <c r="E20" s="347"/>
      <c r="F20" s="347"/>
      <c r="G20" s="347"/>
      <c r="H20" s="347"/>
      <c r="I20" s="347"/>
      <c r="J20" s="347"/>
      <c r="K20" s="348"/>
      <c r="L20" s="26"/>
      <c r="M20" s="26"/>
      <c r="N20" s="26"/>
      <c r="O20" s="26"/>
      <c r="P20" s="26"/>
      <c r="Q20" s="26"/>
    </row>
    <row r="21" spans="1:17" s="219" customFormat="1" ht="24" customHeight="1">
      <c r="A21" s="472" t="s">
        <v>787</v>
      </c>
      <c r="B21" s="473"/>
      <c r="C21" s="473"/>
      <c r="D21" s="473"/>
      <c r="E21" s="473"/>
      <c r="F21" s="473"/>
      <c r="G21" s="473"/>
      <c r="H21" s="473"/>
      <c r="I21" s="473"/>
      <c r="J21" s="473"/>
      <c r="K21" s="474"/>
      <c r="L21" s="218"/>
      <c r="M21" s="218"/>
      <c r="N21" s="218"/>
      <c r="O21" s="218"/>
      <c r="P21" s="218"/>
      <c r="Q21" s="218"/>
    </row>
    <row r="22" spans="1:17" s="219" customFormat="1" ht="24" customHeight="1">
      <c r="A22" s="475" t="s">
        <v>788</v>
      </c>
      <c r="B22" s="476"/>
      <c r="C22" s="476"/>
      <c r="D22" s="476"/>
      <c r="E22" s="476"/>
      <c r="F22" s="476"/>
      <c r="G22" s="476"/>
      <c r="H22" s="476"/>
      <c r="I22" s="476"/>
      <c r="J22" s="476"/>
      <c r="K22" s="477"/>
      <c r="L22" s="218"/>
      <c r="M22" s="218"/>
      <c r="N22" s="218"/>
      <c r="O22" s="218"/>
      <c r="P22" s="218"/>
      <c r="Q22" s="218"/>
    </row>
    <row r="23" spans="1:17" s="192" customFormat="1" ht="22.5" customHeight="1">
      <c r="A23" s="445" t="s">
        <v>789</v>
      </c>
      <c r="B23" s="446"/>
      <c r="C23" s="446"/>
      <c r="D23" s="446"/>
      <c r="E23" s="446"/>
      <c r="F23" s="446"/>
      <c r="G23" s="446"/>
      <c r="H23" s="446"/>
      <c r="I23" s="446"/>
      <c r="J23" s="446"/>
      <c r="K23" s="447"/>
      <c r="L23" s="191"/>
      <c r="M23" s="191"/>
      <c r="N23" s="191"/>
      <c r="O23" s="191"/>
      <c r="P23" s="191"/>
      <c r="Q23" s="191"/>
    </row>
    <row r="24" spans="1:17" ht="24" customHeight="1">
      <c r="A24" s="373" t="s">
        <v>790</v>
      </c>
      <c r="B24" s="374"/>
      <c r="C24" s="374"/>
      <c r="D24" s="374"/>
      <c r="E24" s="374"/>
      <c r="F24" s="374"/>
      <c r="G24" s="374"/>
      <c r="H24" s="374"/>
      <c r="I24" s="374"/>
      <c r="J24" s="374"/>
      <c r="K24" s="375"/>
      <c r="L24" s="26"/>
      <c r="M24" s="26"/>
      <c r="N24" s="26"/>
      <c r="O24" s="26"/>
      <c r="P24" s="26"/>
      <c r="Q24" s="26"/>
    </row>
    <row r="25" spans="1:17" ht="24" customHeight="1">
      <c r="A25" s="373" t="s">
        <v>791</v>
      </c>
      <c r="B25" s="374"/>
      <c r="C25" s="374"/>
      <c r="D25" s="374"/>
      <c r="E25" s="374"/>
      <c r="F25" s="374"/>
      <c r="G25" s="374"/>
      <c r="H25" s="374"/>
      <c r="I25" s="374"/>
      <c r="J25" s="374"/>
      <c r="K25" s="375"/>
      <c r="L25" s="26"/>
      <c r="M25" s="26"/>
      <c r="N25" s="26"/>
      <c r="O25" s="26"/>
      <c r="P25" s="26"/>
      <c r="Q25" s="26"/>
    </row>
    <row r="26" spans="1:17" ht="24" customHeight="1">
      <c r="A26" s="223" t="s">
        <v>901</v>
      </c>
      <c r="B26" s="17"/>
      <c r="C26" s="17"/>
      <c r="D26" s="17"/>
      <c r="E26" s="17"/>
      <c r="F26" s="17"/>
      <c r="G26" s="17"/>
      <c r="H26" s="17"/>
      <c r="I26" s="17"/>
      <c r="J26" s="17"/>
      <c r="K26" s="193"/>
      <c r="L26" s="26"/>
      <c r="M26" s="26"/>
      <c r="N26" s="26"/>
      <c r="O26" s="26"/>
      <c r="P26" s="26"/>
      <c r="Q26" s="26"/>
    </row>
    <row r="27" spans="1:17" ht="24" customHeight="1">
      <c r="A27" s="373" t="s">
        <v>792</v>
      </c>
      <c r="B27" s="374"/>
      <c r="C27" s="374"/>
      <c r="D27" s="374"/>
      <c r="E27" s="374"/>
      <c r="F27" s="374"/>
      <c r="G27" s="374"/>
      <c r="H27" s="374"/>
      <c r="I27" s="374"/>
      <c r="J27" s="374"/>
      <c r="K27" s="375"/>
      <c r="L27" s="26"/>
      <c r="M27" s="26"/>
      <c r="N27" s="26"/>
      <c r="O27" s="26"/>
      <c r="P27" s="26"/>
      <c r="Q27" s="26"/>
    </row>
    <row r="28" spans="1:17" ht="24" customHeight="1">
      <c r="A28" s="373" t="s">
        <v>793</v>
      </c>
      <c r="B28" s="374"/>
      <c r="C28" s="374"/>
      <c r="D28" s="374"/>
      <c r="E28" s="374"/>
      <c r="F28" s="374"/>
      <c r="G28" s="374"/>
      <c r="H28" s="374"/>
      <c r="I28" s="374"/>
      <c r="J28" s="374"/>
      <c r="K28" s="375"/>
      <c r="L28" s="26"/>
      <c r="M28" s="26"/>
      <c r="N28" s="26"/>
      <c r="O28" s="26"/>
      <c r="P28" s="26"/>
      <c r="Q28" s="26"/>
    </row>
    <row r="29" spans="1:17" ht="24" customHeight="1">
      <c r="A29" s="373" t="s">
        <v>794</v>
      </c>
      <c r="B29" s="374"/>
      <c r="C29" s="374"/>
      <c r="D29" s="374"/>
      <c r="E29" s="374"/>
      <c r="F29" s="374"/>
      <c r="G29" s="374"/>
      <c r="H29" s="374"/>
      <c r="I29" s="374"/>
      <c r="J29" s="374"/>
      <c r="K29" s="374"/>
      <c r="L29" s="375"/>
      <c r="M29" s="26"/>
      <c r="N29" s="26"/>
      <c r="O29" s="26"/>
      <c r="P29" s="26"/>
      <c r="Q29" s="26"/>
    </row>
    <row r="30" spans="1:17" s="222" customFormat="1" ht="24" customHeight="1">
      <c r="A30" s="223" t="s">
        <v>899</v>
      </c>
      <c r="K30" s="224"/>
    </row>
    <row r="31" spans="1:17" s="28" customFormat="1" ht="24.6" customHeight="1">
      <c r="A31" s="315" t="s">
        <v>744</v>
      </c>
      <c r="B31" s="316"/>
      <c r="C31" s="317" t="s">
        <v>795</v>
      </c>
      <c r="D31" s="318"/>
      <c r="E31" s="316"/>
      <c r="F31" s="317" t="s">
        <v>746</v>
      </c>
      <c r="G31" s="316"/>
      <c r="H31" s="319" t="s">
        <v>747</v>
      </c>
      <c r="I31" s="319"/>
      <c r="J31" s="306" t="s">
        <v>748</v>
      </c>
      <c r="K31" s="440"/>
      <c r="L31" s="27"/>
      <c r="M31" s="27"/>
      <c r="N31" s="27"/>
      <c r="O31" s="27"/>
      <c r="P31" s="27"/>
      <c r="Q31" s="27"/>
    </row>
    <row r="32" spans="1:17" s="28" customFormat="1" ht="21" customHeight="1">
      <c r="A32" s="315" t="e">
        <f>IF(AND(E32="沈大維",F32="沈大維",H32="沈大維"),"沈大維+陳維隆",IF(SUM(J11:J16)&gt;=100000,"沈大維+陳維隆","沈大維"))</f>
        <v>#N/A</v>
      </c>
      <c r="B32" s="316"/>
      <c r="C32" s="61" t="e">
        <f>_xlfn.XLOOKUP('1.請購單'!C12,link!AD:AD,link!AE:AE)</f>
        <v>#N/A</v>
      </c>
      <c r="D32" s="61" t="e">
        <f>_xlfn.XLOOKUP('1.請購單'!C11,link!AD:AD,link!AE:AE)</f>
        <v>#N/A</v>
      </c>
      <c r="E32" s="61" t="e">
        <f>_xlfn.XLOOKUP('1.請購單'!C10,link!AD:AD,link!AE:AE)</f>
        <v>#N/A</v>
      </c>
      <c r="F32" s="319" t="str">
        <f>'1.請購單'!F25</f>
        <v>吳旭東</v>
      </c>
      <c r="G32" s="319"/>
      <c r="H32" s="319" t="str">
        <f>'1.請購單'!H6</f>
        <v>李盈萱</v>
      </c>
      <c r="I32" s="319"/>
      <c r="J32" s="428"/>
      <c r="K32" s="429"/>
      <c r="L32" s="27"/>
      <c r="M32" s="27"/>
      <c r="N32" s="27"/>
      <c r="O32" s="27"/>
      <c r="P32" s="27"/>
      <c r="Q32" s="27"/>
    </row>
    <row r="33" spans="1:17" s="28" customFormat="1" ht="60" customHeight="1">
      <c r="A33" s="312"/>
      <c r="B33" s="307"/>
      <c r="C33" s="129"/>
      <c r="D33" s="129"/>
      <c r="E33" s="130"/>
      <c r="F33" s="306"/>
      <c r="G33" s="307"/>
      <c r="H33" s="306"/>
      <c r="I33" s="307"/>
      <c r="J33" s="308"/>
      <c r="K33" s="441"/>
      <c r="L33" s="27"/>
      <c r="M33" s="27"/>
      <c r="N33" s="27"/>
      <c r="O33" s="27"/>
      <c r="P33" s="27"/>
      <c r="Q33" s="27"/>
    </row>
    <row r="34" spans="1:17" s="28" customFormat="1" ht="21" customHeight="1">
      <c r="A34" s="313"/>
      <c r="B34" s="309"/>
      <c r="C34" s="129" t="e">
        <f>_xlfn.XLOOKUP('1.請購單'!C15,link!AD:AD,link!AE:AE)</f>
        <v>#N/A</v>
      </c>
      <c r="D34" s="129" t="e">
        <f>_xlfn.XLOOKUP('1.請購單'!C14,link!AD:AD,link!AE:AE)</f>
        <v>#N/A</v>
      </c>
      <c r="E34" s="130" t="e">
        <f>_xlfn.XLOOKUP('1.請購單'!C13,link!AD:AD,link!AE:AE)</f>
        <v>#N/A</v>
      </c>
      <c r="F34" s="308"/>
      <c r="G34" s="309"/>
      <c r="H34" s="308"/>
      <c r="I34" s="309"/>
      <c r="J34" s="308"/>
      <c r="K34" s="441"/>
      <c r="L34" s="27"/>
      <c r="M34" s="27"/>
      <c r="N34" s="27"/>
      <c r="O34" s="27"/>
      <c r="P34" s="27"/>
      <c r="Q34" s="27"/>
    </row>
    <row r="35" spans="1:17" s="28" customFormat="1" ht="60" customHeight="1" thickBot="1">
      <c r="A35" s="314"/>
      <c r="B35" s="311"/>
      <c r="C35" s="165"/>
      <c r="D35" s="165"/>
      <c r="E35" s="166"/>
      <c r="F35" s="310"/>
      <c r="G35" s="311"/>
      <c r="H35" s="310"/>
      <c r="I35" s="311"/>
      <c r="J35" s="310"/>
      <c r="K35" s="442"/>
      <c r="L35" s="27"/>
      <c r="M35" s="27"/>
      <c r="N35" s="27"/>
      <c r="O35" s="27"/>
      <c r="P35" s="27"/>
      <c r="Q35" s="27"/>
    </row>
    <row r="36" spans="1:17" ht="24" customHeight="1" thickBot="1">
      <c r="A36" s="455" t="s">
        <v>796</v>
      </c>
      <c r="B36" s="456"/>
      <c r="C36" s="456"/>
      <c r="D36" s="456"/>
      <c r="E36" s="456"/>
      <c r="F36" s="456"/>
      <c r="G36" s="456"/>
      <c r="H36" s="456"/>
      <c r="I36" s="456"/>
      <c r="J36" s="456"/>
      <c r="K36" s="225"/>
      <c r="L36" s="26"/>
      <c r="M36" s="26"/>
      <c r="N36" s="26"/>
      <c r="O36" s="26"/>
      <c r="P36" s="26"/>
      <c r="Q36" s="26"/>
    </row>
  </sheetData>
  <sheetProtection algorithmName="SHA-512" hashValue="/z4cRoaIZa/hC2l/qS2gEBlX77wEOylw8e8bcte2qVMG0lA5boAQoUPvGk635qjU61yNib2/I1AThxaIpLlPgw==" saltValue="3gxmomy1uSNPB/5VxZTkmQ==" spinCount="100000" sheet="1" formatCells="0" formatRows="0" selectLockedCells="1"/>
  <protectedRanges>
    <protectedRange sqref="H5:H8 A17 A20 E11:J16" name="範圍1"/>
  </protectedRanges>
  <customSheetViews>
    <customSheetView guid="{35D388E4-CC07-43EA-A28A-E86A81E2BB3C}" scale="87" fitToPage="1" printArea="1">
      <selection activeCell="K11" sqref="K11:O11"/>
      <pageMargins left="0" right="0" top="0" bottom="0" header="0" footer="0"/>
      <printOptions horizontalCentered="1"/>
      <pageSetup paperSize="9" scale="90" orientation="portrait" r:id="rId1"/>
    </customSheetView>
  </customSheetViews>
  <mergeCells count="62">
    <mergeCell ref="A29:L29"/>
    <mergeCell ref="J16:K16"/>
    <mergeCell ref="J11:K11"/>
    <mergeCell ref="J12:K12"/>
    <mergeCell ref="J13:K13"/>
    <mergeCell ref="J14:K14"/>
    <mergeCell ref="J15:K15"/>
    <mergeCell ref="B19:E19"/>
    <mergeCell ref="A21:K21"/>
    <mergeCell ref="A22:K22"/>
    <mergeCell ref="A2:J2"/>
    <mergeCell ref="A3:J3"/>
    <mergeCell ref="A17:H17"/>
    <mergeCell ref="J10:K10"/>
    <mergeCell ref="J17:K17"/>
    <mergeCell ref="A9:C9"/>
    <mergeCell ref="A5:B5"/>
    <mergeCell ref="A6:B6"/>
    <mergeCell ref="A7:B7"/>
    <mergeCell ref="A8:B8"/>
    <mergeCell ref="C5:D5"/>
    <mergeCell ref="C6:D6"/>
    <mergeCell ref="C7:D7"/>
    <mergeCell ref="F5:G5"/>
    <mergeCell ref="F6:G6"/>
    <mergeCell ref="F7:G7"/>
    <mergeCell ref="A36:J36"/>
    <mergeCell ref="H31:I31"/>
    <mergeCell ref="F31:G31"/>
    <mergeCell ref="F32:G32"/>
    <mergeCell ref="H32:I32"/>
    <mergeCell ref="A31:B31"/>
    <mergeCell ref="A32:B32"/>
    <mergeCell ref="C31:E31"/>
    <mergeCell ref="A33:B35"/>
    <mergeCell ref="C8:D8"/>
    <mergeCell ref="M10:Q10"/>
    <mergeCell ref="M12:Q13"/>
    <mergeCell ref="A20:K20"/>
    <mergeCell ref="F19:K19"/>
    <mergeCell ref="B18:K18"/>
    <mergeCell ref="E12:F12"/>
    <mergeCell ref="E13:F13"/>
    <mergeCell ref="E14:F14"/>
    <mergeCell ref="E15:F15"/>
    <mergeCell ref="E16:F16"/>
    <mergeCell ref="H5:J5"/>
    <mergeCell ref="H6:J6"/>
    <mergeCell ref="H7:J7"/>
    <mergeCell ref="H33:I35"/>
    <mergeCell ref="J31:K32"/>
    <mergeCell ref="J33:K35"/>
    <mergeCell ref="I8:J8"/>
    <mergeCell ref="A23:K23"/>
    <mergeCell ref="A24:K24"/>
    <mergeCell ref="A25:K25"/>
    <mergeCell ref="A27:K27"/>
    <mergeCell ref="A28:K28"/>
    <mergeCell ref="F8:G8"/>
    <mergeCell ref="F33:G35"/>
    <mergeCell ref="E10:F10"/>
    <mergeCell ref="E11:F11"/>
  </mergeCells>
  <phoneticPr fontId="3" type="noConversion"/>
  <conditionalFormatting sqref="E11:F11">
    <cfRule type="expression" dxfId="7" priority="1">
      <formula>$E11="無預算"</formula>
    </cfRule>
  </conditionalFormatting>
  <conditionalFormatting sqref="F19:K19">
    <cfRule type="expression" dxfId="6" priority="2">
      <formula>$A$19=""</formula>
    </cfRule>
    <cfRule type="expression" dxfId="5" priority="3">
      <formula>$A$19="X"</formula>
    </cfRule>
    <cfRule type="expression" dxfId="4" priority="4">
      <formula>$A$19="V"</formula>
    </cfRule>
  </conditionalFormatting>
  <conditionalFormatting sqref="G11:J11 E12:J16">
    <cfRule type="expression" dxfId="3" priority="5">
      <formula>$D11="無預算"</formula>
    </cfRule>
  </conditionalFormatting>
  <dataValidations xWindow="331" yWindow="367" count="6">
    <dataValidation type="whole" allowBlank="1" showInputMessage="1" showErrorMessage="1" promptTitle="預計天數" prompt="預估幾天之後會到貨?" sqref="H8" xr:uid="{0FF93715-DA9D-423A-80D5-B2432ED635B9}">
      <formula1>1</formula1>
      <formula2>360</formula2>
    </dataValidation>
    <dataValidation allowBlank="1" showInputMessage="1" showErrorMessage="1" promptTitle="單價" prompt="請填入與廠商議價過後的金額, 包含5%營業稅_x000a_若有關稅、牌照稅等請填寫至其他項次" sqref="H11:H16" xr:uid="{54B5208A-EB44-4527-A1C8-99C0CE2F5F9D}"/>
    <dataValidation type="list" allowBlank="1" showInputMessage="1" showErrorMessage="1" sqref="A18" xr:uid="{60F9644C-C1A1-4BA8-A42F-46624C44D062}">
      <formula1>"請選擇,V,X"</formula1>
    </dataValidation>
    <dataValidation type="list" allowBlank="1" showInputMessage="1" showErrorMessage="1" sqref="F19:K19" xr:uid="{031ECC29-231A-47F1-B1B5-77E899F0C970}">
      <formula1>$T$4:$T$7</formula1>
    </dataValidation>
    <dataValidation allowBlank="1" showInputMessage="1" showErrorMessage="1" promptTitle="單位" prompt="請填入本物件的計量單位, 如: 件、套、式、個、公斤、公尺..." sqref="G11:G16" xr:uid="{9D70E18B-B663-45BA-A867-6D9AE2CD7337}"/>
    <dataValidation allowBlank="1" showInputMessage="1" showErrorMessage="1" promptTitle="預計採購廠商" prompt="請填入經過搜尋且比較過後, &quot;決定&quot;要採購的廠商名稱" sqref="H5" xr:uid="{D164E7CD-1475-44B3-9038-81C9421C8669}"/>
  </dataValidations>
  <printOptions horizontalCentered="1"/>
  <pageMargins left="0.22" right="0.15748031496062992" top="0.51" bottom="0.19685039370078741" header="0.19685039370078741" footer="0.19685039370078741"/>
  <pageSetup paperSize="9" scale="65" orientation="portrait" cellComments="asDisplayed" r:id="rId2"/>
  <extLst>
    <ext xmlns:x14="http://schemas.microsoft.com/office/spreadsheetml/2009/9/main" uri="{CCE6A557-97BC-4b89-ADB6-D9C93CAAB3DF}">
      <x14:dataValidations xmlns:xm="http://schemas.microsoft.com/office/excel/2006/main" xWindow="331" yWindow="367" count="3">
        <x14:dataValidation type="list" allowBlank="1" showInputMessage="1" showErrorMessage="1" promptTitle="採購次序" prompt="請選取這是第幾次採購, 第一次選B1, 第二次選B2..." xr:uid="{02B60D98-9D54-4AD0-9085-5BF68E2CA066}">
          <x14:formula1>
            <xm:f>link!$P$2:$P$15</xm:f>
          </x14:formula1>
          <xm:sqref>E6</xm:sqref>
        </x14:dataValidation>
        <x14:dataValidation type="list" allowBlank="1" showInputMessage="1" showErrorMessage="1" promptTitle="付款條件" prompt="月結30天代表這個月訂購就會出貨, 下個月底前支付全款_x000a_預付代表全額支付後廠商才安排出貨_x000a_非一次全付的都屬於分期, 請到備註寫分期付款模式, 如平均12期, 訂金30%+出貨40%+驗收完畢30%" xr:uid="{2E405A00-9617-4203-9D8F-B8E399E9752A}">
          <x14:formula1>
            <xm:f>link!$L$2:$L$6</xm:f>
          </x14:formula1>
          <xm:sqref>H7:J7</xm:sqref>
        </x14:dataValidation>
        <x14:dataValidation type="list" allowBlank="1" showInputMessage="1" showErrorMessage="1" promptTitle="付款方式" prompt="請選取跟廠商議定好的付款管道, 如匯款, 支票..." xr:uid="{5C860A45-488A-4810-BEDB-C5782AD841B6}">
          <x14:formula1>
            <xm:f>link!$J$2:$J$8</xm:f>
          </x14:formula1>
          <xm:sqref>H6:J6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CA4CA-98A9-48FA-BF43-32B321C3F2A4}">
  <sheetPr codeName="工作表7">
    <pageSetUpPr fitToPage="1"/>
  </sheetPr>
  <dimension ref="A1:P41"/>
  <sheetViews>
    <sheetView showGridLines="0" view="pageBreakPreview" zoomScale="70" zoomScaleNormal="70" zoomScaleSheetLayoutView="70" workbookViewId="0">
      <selection activeCell="K35" sqref="K35"/>
    </sheetView>
  </sheetViews>
  <sheetFormatPr defaultColWidth="9" defaultRowHeight="16.2"/>
  <cols>
    <col min="1" max="1" width="3.6640625" style="57" customWidth="1"/>
    <col min="2" max="2" width="17.6640625" style="57" customWidth="1"/>
    <col min="3" max="4" width="20.6640625" style="57" customWidth="1"/>
    <col min="5" max="5" width="30" style="57" customWidth="1"/>
    <col min="6" max="8" width="6.21875" style="57" customWidth="1"/>
    <col min="9" max="10" width="17.21875" style="57" customWidth="1"/>
    <col min="11" max="15" width="9" style="57"/>
    <col min="16" max="16" width="12.44140625" style="57" customWidth="1"/>
    <col min="17" max="16384" width="9" style="57"/>
  </cols>
  <sheetData>
    <row r="1" spans="1:16">
      <c r="A1" s="55" t="str">
        <f>'1.請購單'!A1</f>
        <v>20260709版</v>
      </c>
      <c r="B1" s="55"/>
      <c r="C1" s="56"/>
      <c r="D1" s="19"/>
      <c r="E1" s="19"/>
      <c r="F1" s="19"/>
      <c r="G1" s="19"/>
      <c r="H1" s="19"/>
      <c r="I1" s="19"/>
      <c r="J1" s="19"/>
      <c r="K1" s="19"/>
      <c r="L1" s="19"/>
      <c r="M1" s="19"/>
      <c r="N1" s="19"/>
      <c r="O1" s="19"/>
      <c r="P1" s="19"/>
    </row>
    <row r="2" spans="1:16" ht="23.4">
      <c r="A2" s="478" t="s">
        <v>714</v>
      </c>
      <c r="B2" s="478"/>
      <c r="C2" s="478"/>
      <c r="D2" s="478"/>
      <c r="E2" s="478"/>
      <c r="F2" s="478"/>
      <c r="G2" s="478"/>
      <c r="H2" s="478"/>
      <c r="I2" s="478"/>
      <c r="J2" s="478"/>
      <c r="K2" s="19"/>
      <c r="L2" s="19"/>
      <c r="M2" s="19"/>
      <c r="N2" s="19"/>
      <c r="O2" s="19"/>
      <c r="P2" s="19"/>
    </row>
    <row r="3" spans="1:16" ht="23.4">
      <c r="A3" s="478" t="s">
        <v>797</v>
      </c>
      <c r="B3" s="478"/>
      <c r="C3" s="478"/>
      <c r="D3" s="478"/>
      <c r="E3" s="478"/>
      <c r="F3" s="478"/>
      <c r="G3" s="478"/>
      <c r="H3" s="478"/>
      <c r="I3" s="478"/>
      <c r="J3" s="478"/>
      <c r="K3" s="19"/>
      <c r="L3" s="19"/>
      <c r="M3" s="19"/>
      <c r="N3" s="19"/>
      <c r="O3" s="19"/>
      <c r="P3" s="19"/>
    </row>
    <row r="4" spans="1:16">
      <c r="A4" s="19"/>
      <c r="B4" s="19"/>
      <c r="C4" s="46"/>
      <c r="D4" s="46"/>
      <c r="E4" s="58"/>
      <c r="F4" s="58"/>
      <c r="G4" s="58"/>
      <c r="H4" s="58"/>
      <c r="I4" s="19"/>
      <c r="J4" s="19"/>
      <c r="K4" s="19"/>
      <c r="L4" s="19"/>
      <c r="M4" s="19"/>
      <c r="N4" s="19"/>
      <c r="O4" s="19"/>
      <c r="P4" s="19"/>
    </row>
    <row r="5" spans="1:16" ht="24" customHeight="1" thickBot="1">
      <c r="A5" s="490" t="s">
        <v>798</v>
      </c>
      <c r="B5" s="490"/>
      <c r="C5" s="491">
        <f ca="1">NOW()</f>
        <v>46212.465342824071</v>
      </c>
      <c r="D5" s="491"/>
      <c r="E5" s="492" t="s">
        <v>799</v>
      </c>
      <c r="F5" s="492"/>
      <c r="G5" s="554">
        <f>'2. 採購單'!H5</f>
        <v>0</v>
      </c>
      <c r="H5" s="554"/>
      <c r="I5" s="554"/>
      <c r="K5" s="19"/>
      <c r="L5" s="19"/>
      <c r="M5" s="19"/>
      <c r="N5" s="19"/>
      <c r="O5" s="19"/>
      <c r="P5" s="19"/>
    </row>
    <row r="6" spans="1:16" ht="24" customHeight="1" thickTop="1" thickBot="1">
      <c r="A6" s="466" t="s">
        <v>800</v>
      </c>
      <c r="B6" s="466"/>
      <c r="C6" s="139" t="str">
        <f>'2. 採購單'!C6</f>
        <v>CP115040669</v>
      </c>
      <c r="D6" s="47" t="s">
        <v>801</v>
      </c>
      <c r="E6" s="493" t="s">
        <v>717</v>
      </c>
      <c r="F6" s="283"/>
      <c r="G6" s="406" t="str">
        <f>'2. 採購單'!C7</f>
        <v>AD管理部</v>
      </c>
      <c r="H6" s="406"/>
      <c r="I6" s="406"/>
      <c r="J6" s="83"/>
      <c r="K6" s="19"/>
      <c r="L6" s="19"/>
      <c r="M6" s="19"/>
      <c r="N6" s="19"/>
      <c r="O6" s="19"/>
      <c r="P6" s="19"/>
    </row>
    <row r="7" spans="1:16" ht="24" customHeight="1" thickTop="1">
      <c r="C7" s="46"/>
      <c r="D7" s="4"/>
      <c r="E7" s="283" t="s">
        <v>802</v>
      </c>
      <c r="F7" s="283"/>
      <c r="G7" s="406" t="str">
        <f>'2. 採購單'!C8</f>
        <v>0091李盈萱</v>
      </c>
      <c r="H7" s="406"/>
      <c r="I7" s="406"/>
      <c r="J7" s="83"/>
      <c r="K7" s="19"/>
      <c r="L7" s="19"/>
      <c r="M7" s="19"/>
      <c r="N7" s="19"/>
      <c r="O7" s="19"/>
      <c r="P7" s="19"/>
    </row>
    <row r="8" spans="1:16" ht="4.5" customHeight="1" thickBot="1">
      <c r="A8" s="19"/>
      <c r="B8" s="19"/>
      <c r="C8" s="59"/>
      <c r="D8" s="20"/>
      <c r="E8" s="59"/>
      <c r="F8" s="59"/>
      <c r="J8" s="59"/>
      <c r="K8" s="19"/>
      <c r="L8" s="19"/>
      <c r="M8" s="19"/>
      <c r="N8" s="19"/>
      <c r="O8" s="19"/>
      <c r="P8" s="19"/>
    </row>
    <row r="9" spans="1:16" ht="20.100000000000001" customHeight="1">
      <c r="A9" s="545" t="s">
        <v>775</v>
      </c>
      <c r="B9" s="486" t="s">
        <v>727</v>
      </c>
      <c r="C9" s="547" t="s">
        <v>729</v>
      </c>
      <c r="D9" s="547" t="s">
        <v>777</v>
      </c>
      <c r="E9" s="547" t="s">
        <v>803</v>
      </c>
      <c r="F9" s="555" t="s">
        <v>732</v>
      </c>
      <c r="G9" s="555" t="s">
        <v>804</v>
      </c>
      <c r="H9" s="555"/>
      <c r="I9" s="557" t="s">
        <v>805</v>
      </c>
      <c r="J9" s="552" t="s">
        <v>806</v>
      </c>
      <c r="K9" s="19"/>
      <c r="L9" s="19"/>
      <c r="M9" s="19"/>
      <c r="N9" s="19"/>
      <c r="O9" s="19"/>
      <c r="P9" s="19"/>
    </row>
    <row r="10" spans="1:16" ht="20.100000000000001" customHeight="1" thickBot="1">
      <c r="A10" s="546"/>
      <c r="B10" s="487"/>
      <c r="C10" s="548"/>
      <c r="D10" s="548"/>
      <c r="E10" s="548"/>
      <c r="F10" s="556"/>
      <c r="G10" s="537" t="s">
        <v>807</v>
      </c>
      <c r="H10" s="538"/>
      <c r="I10" s="558"/>
      <c r="J10" s="553"/>
      <c r="K10" s="19"/>
      <c r="L10" s="19"/>
      <c r="M10" s="19"/>
      <c r="N10" s="19"/>
      <c r="O10" s="19"/>
      <c r="P10" s="19"/>
    </row>
    <row r="11" spans="1:16" ht="80.099999999999994" customHeight="1" thickTop="1" thickBot="1">
      <c r="A11" s="60">
        <v>1</v>
      </c>
      <c r="B11" s="140" t="str">
        <f>'2. 採購單'!B11</f>
        <v xml:space="preserve"> </v>
      </c>
      <c r="C11" s="140" t="str">
        <f>'2. 採購單'!C11</f>
        <v/>
      </c>
      <c r="D11" s="137" t="str">
        <f>'2. 採購單'!D11</f>
        <v/>
      </c>
      <c r="E11" s="167" t="str">
        <f>IF('2. 採購單'!E11="","",'2. 採購單'!E11)</f>
        <v/>
      </c>
      <c r="F11" s="147" t="str">
        <f>IF('2. 採購單'!I11="","",'2. 採購單'!I11)</f>
        <v/>
      </c>
      <c r="G11" s="479"/>
      <c r="H11" s="480"/>
      <c r="I11" s="229"/>
      <c r="J11" s="168"/>
      <c r="K11" s="19"/>
      <c r="L11" s="495" t="s">
        <v>723</v>
      </c>
      <c r="M11" s="496"/>
      <c r="N11" s="496"/>
      <c r="O11" s="496"/>
      <c r="P11" s="497"/>
    </row>
    <row r="12" spans="1:16" ht="80.099999999999994" customHeight="1" thickTop="1">
      <c r="A12" s="60">
        <v>2</v>
      </c>
      <c r="B12" s="140" t="str">
        <f>'2. 採購單'!B12</f>
        <v xml:space="preserve"> </v>
      </c>
      <c r="C12" s="140" t="str">
        <f>'2. 採購單'!C12</f>
        <v/>
      </c>
      <c r="D12" s="137" t="str">
        <f>'2. 採購單'!D12</f>
        <v/>
      </c>
      <c r="E12" s="167" t="str">
        <f>IF('2. 採購單'!E12="","",'2. 採購單'!E12)</f>
        <v/>
      </c>
      <c r="F12" s="147" t="str">
        <f>IF('2. 採購單'!I12="","",'2. 採購單'!I12)</f>
        <v/>
      </c>
      <c r="G12" s="481"/>
      <c r="H12" s="482"/>
      <c r="I12" s="230"/>
      <c r="J12" s="168"/>
      <c r="K12" s="19"/>
      <c r="L12" s="29"/>
      <c r="M12" s="29"/>
      <c r="N12" s="29"/>
      <c r="O12" s="29"/>
      <c r="P12" s="29"/>
    </row>
    <row r="13" spans="1:16" ht="80.099999999999994" customHeight="1">
      <c r="A13" s="60">
        <v>3</v>
      </c>
      <c r="B13" s="140" t="str">
        <f>'2. 採購單'!B13</f>
        <v xml:space="preserve"> </v>
      </c>
      <c r="C13" s="140" t="str">
        <f>'2. 採購單'!C13</f>
        <v/>
      </c>
      <c r="D13" s="137" t="str">
        <f>'2. 採購單'!D13</f>
        <v/>
      </c>
      <c r="E13" s="167" t="str">
        <f>IF('2. 採購單'!E13="","",'2. 採購單'!E13)</f>
        <v/>
      </c>
      <c r="F13" s="147" t="str">
        <f>IF('2. 採購單'!I13="","",'2. 採購單'!I13)</f>
        <v/>
      </c>
      <c r="G13" s="481"/>
      <c r="H13" s="482"/>
      <c r="I13" s="230"/>
      <c r="J13" s="168"/>
      <c r="K13" s="19"/>
      <c r="L13" s="494" t="s">
        <v>808</v>
      </c>
      <c r="M13" s="494"/>
      <c r="N13" s="494"/>
      <c r="O13" s="494"/>
      <c r="P13" s="494"/>
    </row>
    <row r="14" spans="1:16" ht="80.099999999999994" customHeight="1">
      <c r="A14" s="60">
        <v>4</v>
      </c>
      <c r="B14" s="140" t="str">
        <f>'2. 採購單'!B14</f>
        <v xml:space="preserve"> </v>
      </c>
      <c r="C14" s="140" t="str">
        <f>'2. 採購單'!C14</f>
        <v/>
      </c>
      <c r="D14" s="137" t="str">
        <f>'2. 採購單'!D14</f>
        <v/>
      </c>
      <c r="E14" s="167" t="str">
        <f>IF('2. 採購單'!E14="","",'2. 採購單'!E14)</f>
        <v/>
      </c>
      <c r="F14" s="147" t="str">
        <f>IF('2. 採購單'!I14="","",'2. 採購單'!I14)</f>
        <v/>
      </c>
      <c r="G14" s="481"/>
      <c r="H14" s="482"/>
      <c r="I14" s="230"/>
      <c r="J14" s="168"/>
      <c r="K14" s="19"/>
      <c r="L14" s="494"/>
      <c r="M14" s="494"/>
      <c r="N14" s="494"/>
      <c r="O14" s="494"/>
      <c r="P14" s="494"/>
    </row>
    <row r="15" spans="1:16" ht="80.099999999999994" customHeight="1">
      <c r="A15" s="60">
        <v>5</v>
      </c>
      <c r="B15" s="140" t="str">
        <f>'2. 採購單'!B15</f>
        <v xml:space="preserve"> </v>
      </c>
      <c r="C15" s="140" t="str">
        <f>'2. 採購單'!C15</f>
        <v/>
      </c>
      <c r="D15" s="137" t="str">
        <f>'2. 採購單'!D15</f>
        <v/>
      </c>
      <c r="E15" s="167" t="str">
        <f>IF('2. 採購單'!E15="","",'2. 採購單'!E15)</f>
        <v/>
      </c>
      <c r="F15" s="147" t="str">
        <f>IF('2. 採購單'!I15="","",'2. 採購單'!I15)</f>
        <v/>
      </c>
      <c r="G15" s="481"/>
      <c r="H15" s="482"/>
      <c r="I15" s="230"/>
      <c r="J15" s="169"/>
      <c r="K15" s="19"/>
      <c r="L15" s="19"/>
      <c r="M15" s="19"/>
      <c r="N15" s="19"/>
      <c r="O15" s="19"/>
      <c r="P15" s="19"/>
    </row>
    <row r="16" spans="1:16" ht="80.099999999999994" customHeight="1" thickBot="1">
      <c r="A16" s="60">
        <v>6</v>
      </c>
      <c r="B16" s="140" t="str">
        <f>'2. 採購單'!B16</f>
        <v xml:space="preserve"> </v>
      </c>
      <c r="C16" s="140" t="str">
        <f>'2. 採購單'!C16</f>
        <v/>
      </c>
      <c r="D16" s="137" t="str">
        <f>'2. 採購單'!D16</f>
        <v/>
      </c>
      <c r="E16" s="167" t="str">
        <f>IF('2. 採購單'!E16="","",'2. 採購單'!E16)</f>
        <v/>
      </c>
      <c r="F16" s="147" t="str">
        <f>IF('2. 採購單'!I16="","",'2. 採購單'!I16)</f>
        <v/>
      </c>
      <c r="G16" s="535"/>
      <c r="H16" s="536"/>
      <c r="I16" s="231"/>
      <c r="J16" s="169"/>
      <c r="K16" s="19"/>
      <c r="L16" s="19"/>
      <c r="M16" s="19"/>
      <c r="N16" s="19"/>
      <c r="O16" s="19"/>
      <c r="P16" s="19"/>
    </row>
    <row r="17" spans="1:16">
      <c r="A17" s="514" t="s">
        <v>809</v>
      </c>
      <c r="B17" s="515"/>
      <c r="C17" s="515"/>
      <c r="D17" s="515"/>
      <c r="E17" s="515"/>
      <c r="F17" s="515"/>
      <c r="G17" s="515"/>
      <c r="H17" s="515"/>
      <c r="I17" s="515"/>
      <c r="J17" s="516"/>
      <c r="K17" s="19"/>
      <c r="L17" s="19"/>
      <c r="M17" s="19"/>
      <c r="N17" s="19"/>
      <c r="O17" s="19"/>
      <c r="P17" s="19"/>
    </row>
    <row r="18" spans="1:16">
      <c r="A18" s="517"/>
      <c r="B18" s="518"/>
      <c r="C18" s="518"/>
      <c r="D18" s="518"/>
      <c r="E18" s="518"/>
      <c r="F18" s="518"/>
      <c r="G18" s="518"/>
      <c r="H18" s="518"/>
      <c r="I18" s="518"/>
      <c r="J18" s="519"/>
      <c r="K18" s="19"/>
      <c r="L18" s="19"/>
      <c r="M18" s="19"/>
      <c r="N18" s="19"/>
      <c r="O18" s="19"/>
      <c r="P18" s="19"/>
    </row>
    <row r="19" spans="1:16">
      <c r="A19" s="517"/>
      <c r="B19" s="518"/>
      <c r="C19" s="518"/>
      <c r="D19" s="518"/>
      <c r="E19" s="518"/>
      <c r="F19" s="518"/>
      <c r="G19" s="518"/>
      <c r="H19" s="518"/>
      <c r="I19" s="518"/>
      <c r="J19" s="519"/>
      <c r="K19" s="19"/>
      <c r="L19" s="19"/>
      <c r="M19" s="19"/>
      <c r="N19" s="19"/>
      <c r="O19" s="19"/>
      <c r="P19" s="19"/>
    </row>
    <row r="20" spans="1:16">
      <c r="A20" s="517"/>
      <c r="B20" s="518"/>
      <c r="C20" s="518"/>
      <c r="D20" s="518"/>
      <c r="E20" s="518"/>
      <c r="F20" s="518"/>
      <c r="G20" s="518"/>
      <c r="H20" s="518"/>
      <c r="I20" s="518"/>
      <c r="J20" s="519"/>
      <c r="K20" s="19"/>
      <c r="L20" s="19"/>
      <c r="M20" s="19"/>
      <c r="N20" s="19"/>
      <c r="O20" s="19"/>
      <c r="P20" s="19"/>
    </row>
    <row r="21" spans="1:16">
      <c r="A21" s="517"/>
      <c r="B21" s="518"/>
      <c r="C21" s="518"/>
      <c r="D21" s="518"/>
      <c r="E21" s="518"/>
      <c r="F21" s="518"/>
      <c r="G21" s="518"/>
      <c r="H21" s="518"/>
      <c r="I21" s="518"/>
      <c r="J21" s="519"/>
      <c r="K21" s="19"/>
      <c r="L21" s="19"/>
      <c r="M21" s="19"/>
      <c r="N21" s="19"/>
      <c r="O21" s="19"/>
      <c r="P21" s="19"/>
    </row>
    <row r="22" spans="1:16">
      <c r="A22" s="517"/>
      <c r="B22" s="518"/>
      <c r="C22" s="518"/>
      <c r="D22" s="518"/>
      <c r="E22" s="518"/>
      <c r="F22" s="518"/>
      <c r="G22" s="518"/>
      <c r="H22" s="518"/>
      <c r="I22" s="518"/>
      <c r="J22" s="519"/>
      <c r="K22" s="19"/>
      <c r="L22" s="19"/>
      <c r="M22" s="19"/>
      <c r="N22" s="19"/>
      <c r="O22" s="19"/>
      <c r="P22" s="19"/>
    </row>
    <row r="23" spans="1:16">
      <c r="A23" s="517"/>
      <c r="B23" s="518"/>
      <c r="C23" s="518"/>
      <c r="D23" s="518"/>
      <c r="E23" s="518"/>
      <c r="F23" s="518"/>
      <c r="G23" s="518"/>
      <c r="H23" s="518"/>
      <c r="I23" s="518"/>
      <c r="J23" s="519"/>
      <c r="K23" s="19"/>
      <c r="L23" s="19"/>
      <c r="M23" s="19"/>
      <c r="N23" s="19"/>
      <c r="O23" s="19"/>
      <c r="P23" s="19"/>
    </row>
    <row r="24" spans="1:16">
      <c r="A24" s="517"/>
      <c r="B24" s="518"/>
      <c r="C24" s="518"/>
      <c r="D24" s="518"/>
      <c r="E24" s="518"/>
      <c r="F24" s="518"/>
      <c r="G24" s="518"/>
      <c r="H24" s="518"/>
      <c r="I24" s="518"/>
      <c r="J24" s="519"/>
      <c r="K24" s="19"/>
      <c r="L24" s="19"/>
      <c r="M24" s="19"/>
      <c r="N24" s="19"/>
      <c r="O24" s="19"/>
      <c r="P24" s="19"/>
    </row>
    <row r="25" spans="1:16">
      <c r="A25" s="517"/>
      <c r="B25" s="518"/>
      <c r="C25" s="518"/>
      <c r="D25" s="518"/>
      <c r="E25" s="518"/>
      <c r="F25" s="518"/>
      <c r="G25" s="518"/>
      <c r="H25" s="518"/>
      <c r="I25" s="518"/>
      <c r="J25" s="519"/>
      <c r="K25" s="19"/>
      <c r="L25" s="19"/>
      <c r="M25" s="19"/>
      <c r="N25" s="19"/>
      <c r="O25" s="19"/>
      <c r="P25" s="19"/>
    </row>
    <row r="26" spans="1:16">
      <c r="A26" s="517"/>
      <c r="B26" s="518"/>
      <c r="C26" s="518"/>
      <c r="D26" s="518"/>
      <c r="E26" s="518"/>
      <c r="F26" s="518"/>
      <c r="G26" s="518"/>
      <c r="H26" s="518"/>
      <c r="I26" s="518"/>
      <c r="J26" s="519"/>
      <c r="K26" s="19"/>
      <c r="L26" s="19"/>
      <c r="M26" s="19"/>
      <c r="N26" s="19"/>
      <c r="O26" s="19"/>
      <c r="P26" s="19"/>
    </row>
    <row r="27" spans="1:16">
      <c r="A27" s="517"/>
      <c r="B27" s="518"/>
      <c r="C27" s="518"/>
      <c r="D27" s="518"/>
      <c r="E27" s="518"/>
      <c r="F27" s="518"/>
      <c r="G27" s="518"/>
      <c r="H27" s="518"/>
      <c r="I27" s="518"/>
      <c r="J27" s="519"/>
      <c r="K27" s="19"/>
      <c r="L27" s="19"/>
      <c r="M27" s="19"/>
      <c r="N27" s="19"/>
      <c r="O27" s="19"/>
      <c r="P27" s="19"/>
    </row>
    <row r="28" spans="1:16" ht="16.8" thickBot="1">
      <c r="A28" s="520"/>
      <c r="B28" s="521"/>
      <c r="C28" s="521"/>
      <c r="D28" s="521"/>
      <c r="E28" s="521"/>
      <c r="F28" s="521"/>
      <c r="G28" s="521"/>
      <c r="H28" s="521"/>
      <c r="I28" s="521"/>
      <c r="J28" s="522"/>
      <c r="K28" s="19"/>
      <c r="L28" s="19"/>
      <c r="M28" s="19"/>
      <c r="N28" s="19"/>
      <c r="O28" s="19"/>
      <c r="P28" s="19"/>
    </row>
    <row r="29" spans="1:16" ht="26.25" customHeight="1">
      <c r="A29" s="529" t="s">
        <v>810</v>
      </c>
      <c r="B29" s="530"/>
      <c r="C29" s="530"/>
      <c r="D29" s="530"/>
      <c r="E29" s="530"/>
      <c r="F29" s="530"/>
      <c r="G29" s="530"/>
      <c r="H29" s="530"/>
      <c r="I29" s="530"/>
      <c r="J29" s="531"/>
      <c r="K29" s="19"/>
      <c r="L29" s="19"/>
      <c r="M29" s="19"/>
      <c r="N29" s="19"/>
      <c r="O29" s="19"/>
      <c r="P29" s="19"/>
    </row>
    <row r="30" spans="1:16" ht="26.25" customHeight="1">
      <c r="A30" s="529" t="s">
        <v>811</v>
      </c>
      <c r="B30" s="530"/>
      <c r="C30" s="530"/>
      <c r="D30" s="530"/>
      <c r="E30" s="530"/>
      <c r="F30" s="530"/>
      <c r="G30" s="530"/>
      <c r="H30" s="530"/>
      <c r="I30" s="530"/>
      <c r="J30" s="531"/>
      <c r="K30" s="19"/>
      <c r="L30" s="19"/>
      <c r="M30" s="19"/>
      <c r="N30" s="19"/>
      <c r="O30" s="19"/>
      <c r="P30" s="19"/>
    </row>
    <row r="31" spans="1:16" ht="26.25" customHeight="1">
      <c r="A31" s="529" t="s">
        <v>812</v>
      </c>
      <c r="B31" s="530"/>
      <c r="C31" s="530"/>
      <c r="D31" s="530"/>
      <c r="E31" s="530"/>
      <c r="F31" s="530"/>
      <c r="G31" s="530"/>
      <c r="H31" s="530"/>
      <c r="I31" s="530"/>
      <c r="J31" s="531"/>
      <c r="K31" s="19"/>
      <c r="L31" s="19"/>
      <c r="M31" s="19"/>
      <c r="N31" s="19"/>
      <c r="O31" s="19"/>
      <c r="P31" s="19"/>
    </row>
    <row r="32" spans="1:16" ht="20.25" customHeight="1">
      <c r="A32" s="523" t="s">
        <v>741</v>
      </c>
      <c r="B32" s="524"/>
      <c r="C32" s="524"/>
      <c r="D32" s="524"/>
      <c r="E32" s="524"/>
      <c r="F32" s="524"/>
      <c r="G32" s="524"/>
      <c r="H32" s="524"/>
      <c r="I32" s="524"/>
      <c r="J32" s="525"/>
      <c r="K32" s="19"/>
      <c r="L32" s="19"/>
      <c r="M32" s="19"/>
      <c r="N32" s="19"/>
      <c r="O32" s="19"/>
      <c r="P32" s="19"/>
    </row>
    <row r="33" spans="1:16" ht="26.25" customHeight="1">
      <c r="A33" s="526" t="s">
        <v>813</v>
      </c>
      <c r="B33" s="527"/>
      <c r="C33" s="527"/>
      <c r="D33" s="527"/>
      <c r="E33" s="527"/>
      <c r="F33" s="527"/>
      <c r="G33" s="527"/>
      <c r="H33" s="527"/>
      <c r="I33" s="527"/>
      <c r="J33" s="528"/>
      <c r="K33" s="19"/>
      <c r="L33" s="19"/>
      <c r="M33" s="19"/>
      <c r="N33" s="19"/>
      <c r="O33" s="19"/>
      <c r="P33" s="19"/>
    </row>
    <row r="34" spans="1:16" ht="26.25" customHeight="1" thickBot="1">
      <c r="A34" s="542" t="s">
        <v>814</v>
      </c>
      <c r="B34" s="543"/>
      <c r="C34" s="543"/>
      <c r="D34" s="543"/>
      <c r="E34" s="543"/>
      <c r="F34" s="543"/>
      <c r="G34" s="543"/>
      <c r="H34" s="543"/>
      <c r="I34" s="543"/>
      <c r="J34" s="544"/>
      <c r="K34" s="19"/>
      <c r="L34" s="19"/>
      <c r="M34" s="19"/>
      <c r="N34" s="19"/>
      <c r="O34" s="19"/>
      <c r="P34" s="19"/>
    </row>
    <row r="35" spans="1:16" ht="23.25" customHeight="1">
      <c r="A35" s="549" t="s">
        <v>815</v>
      </c>
      <c r="B35" s="550"/>
      <c r="C35" s="550"/>
      <c r="D35" s="550"/>
      <c r="E35" s="550"/>
      <c r="F35" s="550"/>
      <c r="G35" s="550"/>
      <c r="H35" s="550"/>
      <c r="I35" s="551"/>
      <c r="J35" s="170" t="s">
        <v>816</v>
      </c>
      <c r="K35" s="19"/>
      <c r="L35" s="19"/>
      <c r="M35" s="19"/>
      <c r="N35" s="19"/>
      <c r="O35" s="19"/>
      <c r="P35" s="19"/>
    </row>
    <row r="36" spans="1:16" ht="23.25" customHeight="1">
      <c r="A36" s="523" t="s">
        <v>817</v>
      </c>
      <c r="B36" s="524"/>
      <c r="C36" s="524"/>
      <c r="D36" s="539"/>
      <c r="E36" s="61" t="s">
        <v>746</v>
      </c>
      <c r="F36" s="483" t="s">
        <v>818</v>
      </c>
      <c r="G36" s="483"/>
      <c r="H36" s="483"/>
      <c r="I36" s="484" t="s">
        <v>819</v>
      </c>
      <c r="J36" s="488" t="s">
        <v>315</v>
      </c>
      <c r="K36" s="19"/>
      <c r="L36" s="19"/>
      <c r="M36" s="19"/>
      <c r="N36" s="19"/>
      <c r="O36" s="19"/>
      <c r="P36" s="19"/>
    </row>
    <row r="37" spans="1:16" ht="20.100000000000001" customHeight="1">
      <c r="A37" s="523" t="e">
        <f>'2. 採購單'!C32</f>
        <v>#N/A</v>
      </c>
      <c r="B37" s="539"/>
      <c r="C37" s="116" t="e">
        <f>'2. 採購單'!D32</f>
        <v>#N/A</v>
      </c>
      <c r="D37" s="116" t="e">
        <f>'2. 採購單'!E32</f>
        <v>#N/A</v>
      </c>
      <c r="E37" s="61" t="str">
        <f>'2. 採購單'!F32</f>
        <v>吳旭東</v>
      </c>
      <c r="F37" s="483" t="str">
        <f>'2. 採購單'!H32</f>
        <v>李盈萱</v>
      </c>
      <c r="G37" s="483"/>
      <c r="H37" s="483"/>
      <c r="I37" s="485"/>
      <c r="J37" s="489"/>
      <c r="K37" s="19"/>
      <c r="L37" s="19"/>
      <c r="M37" s="19"/>
      <c r="N37" s="19"/>
      <c r="O37" s="19"/>
      <c r="P37" s="19"/>
    </row>
    <row r="38" spans="1:16" ht="60" customHeight="1">
      <c r="A38" s="523"/>
      <c r="B38" s="539"/>
      <c r="C38" s="141"/>
      <c r="D38" s="130"/>
      <c r="E38" s="498"/>
      <c r="F38" s="503"/>
      <c r="G38" s="504"/>
      <c r="H38" s="505"/>
      <c r="I38" s="484"/>
      <c r="J38" s="488"/>
      <c r="K38" s="19"/>
      <c r="L38" s="19"/>
      <c r="M38" s="19"/>
      <c r="N38" s="19"/>
      <c r="O38" s="19"/>
      <c r="P38" s="19"/>
    </row>
    <row r="39" spans="1:16" ht="20.100000000000001" customHeight="1">
      <c r="A39" s="523" t="e">
        <f>'2. 採購單'!C34</f>
        <v>#N/A</v>
      </c>
      <c r="B39" s="539"/>
      <c r="C39" s="117" t="e">
        <f>'2. 採購單'!D34</f>
        <v>#N/A</v>
      </c>
      <c r="D39" s="61" t="e">
        <f>'2. 採購單'!E34</f>
        <v>#N/A</v>
      </c>
      <c r="E39" s="499"/>
      <c r="F39" s="506"/>
      <c r="G39" s="507"/>
      <c r="H39" s="508"/>
      <c r="I39" s="501"/>
      <c r="J39" s="512"/>
      <c r="K39" s="19"/>
      <c r="L39" s="19"/>
      <c r="M39" s="19"/>
      <c r="N39" s="19"/>
      <c r="O39" s="19"/>
      <c r="P39" s="19"/>
    </row>
    <row r="40" spans="1:16" ht="60" customHeight="1" thickBot="1">
      <c r="A40" s="540"/>
      <c r="B40" s="541"/>
      <c r="C40" s="171"/>
      <c r="D40" s="131"/>
      <c r="E40" s="500"/>
      <c r="F40" s="509"/>
      <c r="G40" s="510"/>
      <c r="H40" s="511"/>
      <c r="I40" s="502"/>
      <c r="J40" s="513"/>
      <c r="K40" s="19"/>
      <c r="L40" s="19"/>
      <c r="M40" s="19"/>
      <c r="N40" s="19"/>
      <c r="O40" s="19"/>
      <c r="P40" s="19"/>
    </row>
    <row r="41" spans="1:16" ht="23.25" customHeight="1" thickBot="1">
      <c r="A41" s="532" t="s">
        <v>820</v>
      </c>
      <c r="B41" s="533"/>
      <c r="C41" s="533"/>
      <c r="D41" s="533"/>
      <c r="E41" s="533"/>
      <c r="F41" s="533"/>
      <c r="G41" s="533"/>
      <c r="H41" s="533"/>
      <c r="I41" s="533"/>
      <c r="J41" s="534"/>
      <c r="K41" s="19"/>
      <c r="L41" s="19"/>
      <c r="M41" s="19"/>
      <c r="N41" s="19"/>
      <c r="O41" s="19"/>
      <c r="P41" s="19"/>
    </row>
  </sheetData>
  <sheetProtection algorithmName="SHA-512" hashValue="RGQljMiPABW5dn7SwXgCTb9IszPDbmGjrx3U7BViW4f2abXAzU0vqwDvafnBeuCsLXVyDWKrk2hiX858dHq9Tg==" saltValue="SZMV3QhNe/ajaFn+juZSvg==" spinCount="100000" sheet="1" formatCells="0" formatRows="0" selectLockedCells="1"/>
  <protectedRanges>
    <protectedRange sqref="D6 G29:I31 G11:I16" name="範圍1"/>
  </protectedRanges>
  <customSheetViews>
    <customSheetView guid="{35D388E4-CC07-43EA-A28A-E86A81E2BB3C}" fitToPage="1" topLeftCell="A7">
      <selection activeCell="K12" sqref="K12:O12"/>
      <pageMargins left="0" right="0" top="0" bottom="0" header="0" footer="0"/>
      <printOptions horizontalCentered="1"/>
      <pageSetup paperSize="9" scale="84" orientation="portrait" r:id="rId1"/>
    </customSheetView>
  </customSheetViews>
  <mergeCells count="51">
    <mergeCell ref="G5:I5"/>
    <mergeCell ref="G6:I6"/>
    <mergeCell ref="G7:I7"/>
    <mergeCell ref="E9:E10"/>
    <mergeCell ref="D9:D10"/>
    <mergeCell ref="F9:F10"/>
    <mergeCell ref="G9:H9"/>
    <mergeCell ref="I9:I10"/>
    <mergeCell ref="A41:J41"/>
    <mergeCell ref="G16:H16"/>
    <mergeCell ref="G10:H10"/>
    <mergeCell ref="A36:D36"/>
    <mergeCell ref="A37:B37"/>
    <mergeCell ref="A38:B38"/>
    <mergeCell ref="A40:B40"/>
    <mergeCell ref="A39:B39"/>
    <mergeCell ref="A34:J34"/>
    <mergeCell ref="A9:A10"/>
    <mergeCell ref="C9:C10"/>
    <mergeCell ref="A35:I35"/>
    <mergeCell ref="J9:J10"/>
    <mergeCell ref="L13:P14"/>
    <mergeCell ref="L11:P11"/>
    <mergeCell ref="G14:H14"/>
    <mergeCell ref="E38:E40"/>
    <mergeCell ref="I38:I40"/>
    <mergeCell ref="F38:H40"/>
    <mergeCell ref="J38:J40"/>
    <mergeCell ref="A17:J28"/>
    <mergeCell ref="A32:J32"/>
    <mergeCell ref="A33:J33"/>
    <mergeCell ref="A29:J29"/>
    <mergeCell ref="A31:J31"/>
    <mergeCell ref="A30:J30"/>
    <mergeCell ref="G15:H15"/>
    <mergeCell ref="A2:J2"/>
    <mergeCell ref="G11:H11"/>
    <mergeCell ref="G12:H12"/>
    <mergeCell ref="F36:H36"/>
    <mergeCell ref="F37:H37"/>
    <mergeCell ref="I36:I37"/>
    <mergeCell ref="G13:H13"/>
    <mergeCell ref="B9:B10"/>
    <mergeCell ref="J36:J37"/>
    <mergeCell ref="A5:B5"/>
    <mergeCell ref="A6:B6"/>
    <mergeCell ref="C5:D5"/>
    <mergeCell ref="A3:J3"/>
    <mergeCell ref="E5:F5"/>
    <mergeCell ref="E6:F6"/>
    <mergeCell ref="E7:F7"/>
  </mergeCells>
  <phoneticPr fontId="5" type="noConversion"/>
  <dataValidations count="3">
    <dataValidation type="textLength" operator="greaterThan" allowBlank="1" showInputMessage="1" showErrorMessage="1" promptTitle="承攬廠商" prompt="應由採購單帶出, 請檢查採購單之預計採購廠商" sqref="G5" xr:uid="{C52B9E7E-92BD-4837-B613-BEA1D7EF77CA}">
      <formula1>2</formula1>
    </dataValidation>
    <dataValidation type="list" allowBlank="1" showInputMessage="1" showErrorMessage="1" promptTitle="驗收次序" prompt="請選取這是第幾次驗收，第一次請選C1, 第二次請選C2..._x000a_" sqref="D6" xr:uid="{1784B0BB-2EA2-47BF-9EB9-902BD7D7C607}">
      <formula1>"C1,C2,C3,C4,C5,C6,C7,C8,C9,C10,C11,C12"</formula1>
    </dataValidation>
    <dataValidation type="list" allowBlank="1" showInputMessage="1" showErrorMessage="1" sqref="G32:H34 G11:H28" xr:uid="{DCCA80D7-247B-4500-8D89-058FF4B89D7F}">
      <formula1>"Pass, Fail"</formula1>
    </dataValidation>
  </dataValidations>
  <printOptions horizontalCentered="1"/>
  <pageMargins left="0.15748031496062992" right="0.15748031496062992" top="0.39370078740157483" bottom="0.19685039370078741" header="0.19685039370078741" footer="0.19685039370078741"/>
  <pageSetup paperSize="9" scale="66" orientation="portrait" cellComments="asDisplayed"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5E1E-306A-4E56-932B-F6014579612C}">
  <sheetPr codeName="工作表8">
    <pageSetUpPr fitToPage="1"/>
  </sheetPr>
  <dimension ref="A1:P39"/>
  <sheetViews>
    <sheetView showGridLines="0" view="pageBreakPreview" zoomScale="78" zoomScaleNormal="78" zoomScaleSheetLayoutView="78" workbookViewId="0">
      <selection activeCell="F9" sqref="F9:H9"/>
    </sheetView>
  </sheetViews>
  <sheetFormatPr defaultColWidth="12.77734375" defaultRowHeight="16.2"/>
  <cols>
    <col min="1" max="1" width="3.6640625" style="1" customWidth="1"/>
    <col min="2" max="2" width="17.6640625" style="1" customWidth="1"/>
    <col min="3" max="5" width="15.6640625" style="1" customWidth="1"/>
    <col min="6" max="6" width="9.6640625" style="1" customWidth="1"/>
    <col min="7" max="7" width="11.6640625" style="1" customWidth="1"/>
    <col min="8" max="8" width="21.44140625" style="2" customWidth="1"/>
    <col min="9" max="9" width="20.33203125" style="2" customWidth="1"/>
    <col min="10" max="10" width="1.21875" style="1" customWidth="1"/>
    <col min="11" max="16384" width="12.77734375" style="1"/>
  </cols>
  <sheetData>
    <row r="1" spans="1:16">
      <c r="A1" s="23" t="str">
        <f>'1.請購單'!A1</f>
        <v>20260709版</v>
      </c>
      <c r="B1" s="23"/>
      <c r="C1" s="23"/>
      <c r="D1" s="8"/>
      <c r="E1" s="7"/>
      <c r="F1" s="7"/>
      <c r="G1" s="7"/>
      <c r="H1" s="7"/>
      <c r="I1" s="7"/>
      <c r="J1" s="5"/>
      <c r="K1" s="5"/>
      <c r="L1" s="5"/>
      <c r="M1" s="5"/>
      <c r="N1" s="5"/>
      <c r="O1" s="5"/>
      <c r="P1" s="5"/>
    </row>
    <row r="2" spans="1:16" ht="23.4">
      <c r="A2" s="334" t="s">
        <v>714</v>
      </c>
      <c r="B2" s="334"/>
      <c r="C2" s="334"/>
      <c r="D2" s="334"/>
      <c r="E2" s="334"/>
      <c r="F2" s="334"/>
      <c r="G2" s="334"/>
      <c r="H2" s="334"/>
      <c r="I2" s="334"/>
      <c r="J2" s="5"/>
      <c r="K2" s="5"/>
      <c r="L2" s="5"/>
      <c r="M2" s="5"/>
      <c r="N2" s="5"/>
      <c r="O2" s="5"/>
      <c r="P2" s="5"/>
    </row>
    <row r="3" spans="1:16" ht="23.4">
      <c r="A3" s="334" t="s">
        <v>821</v>
      </c>
      <c r="B3" s="334"/>
      <c r="C3" s="334"/>
      <c r="D3" s="334"/>
      <c r="E3" s="334"/>
      <c r="F3" s="334"/>
      <c r="G3" s="334"/>
      <c r="H3" s="334"/>
      <c r="I3" s="334"/>
      <c r="J3" s="5"/>
      <c r="K3" s="5"/>
      <c r="L3" s="5"/>
      <c r="M3" s="5"/>
      <c r="N3" s="5"/>
      <c r="O3" s="5"/>
      <c r="P3" s="5"/>
    </row>
    <row r="4" spans="1:16" s="3" customFormat="1" ht="17.100000000000001" customHeight="1">
      <c r="A4" s="9"/>
      <c r="B4" s="9"/>
      <c r="C4" s="9"/>
      <c r="D4" s="9"/>
      <c r="E4" s="9"/>
      <c r="F4" s="9"/>
      <c r="G4" s="9"/>
      <c r="H4" s="9"/>
      <c r="I4" s="10"/>
      <c r="J4" s="11"/>
      <c r="K4" s="11"/>
      <c r="L4" s="11"/>
      <c r="M4" s="11"/>
      <c r="N4" s="11"/>
      <c r="O4" s="11"/>
      <c r="P4" s="11"/>
    </row>
    <row r="5" spans="1:16" ht="24" customHeight="1" thickBot="1">
      <c r="A5" s="283" t="s">
        <v>822</v>
      </c>
      <c r="B5" s="283"/>
      <c r="C5" s="355">
        <f ca="1">NOW()</f>
        <v>46212.465342824071</v>
      </c>
      <c r="D5" s="355"/>
      <c r="E5" s="283" t="s">
        <v>823</v>
      </c>
      <c r="F5" s="283"/>
      <c r="G5" s="126" t="str">
        <f>_xlfn.XLOOKUP(G6,link!B:B,link!E:E,"")</f>
        <v>AD</v>
      </c>
      <c r="H5" s="17" t="str">
        <f>_xlfn.XLOOKUP(G6,link!B:B,link!D:D,"")</f>
        <v>管理部</v>
      </c>
      <c r="J5" s="5"/>
      <c r="K5" s="5"/>
      <c r="L5" s="5"/>
      <c r="M5" s="5"/>
      <c r="N5" s="5"/>
      <c r="O5" s="5"/>
      <c r="P5" s="5"/>
    </row>
    <row r="6" spans="1:16" ht="24" customHeight="1" thickTop="1" thickBot="1">
      <c r="A6" s="283"/>
      <c r="B6" s="283"/>
      <c r="C6" s="283"/>
      <c r="D6" s="283"/>
      <c r="E6" s="283" t="s">
        <v>824</v>
      </c>
      <c r="F6" s="283"/>
      <c r="G6" s="248" t="s">
        <v>916</v>
      </c>
      <c r="H6" s="17" t="str">
        <f>_xlfn.XLOOKUP(G6,link!B:B,link!C:C,"查無此人")</f>
        <v>李盈萱</v>
      </c>
      <c r="J6" s="5"/>
      <c r="K6" s="5"/>
      <c r="L6" s="5"/>
      <c r="M6" s="5"/>
      <c r="N6" s="5"/>
      <c r="O6" s="5"/>
      <c r="P6" s="5"/>
    </row>
    <row r="7" spans="1:16" s="3" customFormat="1" ht="9.75" customHeight="1" thickTop="1" thickBot="1">
      <c r="A7" s="21"/>
      <c r="B7" s="21"/>
      <c r="C7" s="21"/>
      <c r="D7" s="21"/>
      <c r="E7" s="18"/>
      <c r="F7" s="18"/>
      <c r="G7" s="18"/>
      <c r="H7" s="18"/>
      <c r="I7" s="18"/>
      <c r="J7" s="11"/>
      <c r="K7" s="11"/>
      <c r="L7" s="11"/>
      <c r="M7" s="11"/>
      <c r="N7" s="11"/>
      <c r="O7" s="11"/>
      <c r="P7" s="11"/>
    </row>
    <row r="8" spans="1:16" ht="40.35" customHeight="1" thickBot="1">
      <c r="A8" s="148" t="s">
        <v>826</v>
      </c>
      <c r="B8" s="172" t="s">
        <v>727</v>
      </c>
      <c r="C8" s="153" t="s">
        <v>827</v>
      </c>
      <c r="D8" s="173" t="s">
        <v>828</v>
      </c>
      <c r="E8" s="174" t="s">
        <v>829</v>
      </c>
      <c r="F8" s="291" t="s">
        <v>830</v>
      </c>
      <c r="G8" s="292"/>
      <c r="H8" s="293"/>
      <c r="I8" s="286" t="s">
        <v>831</v>
      </c>
      <c r="J8" s="287"/>
      <c r="K8" s="5"/>
      <c r="L8" s="5"/>
      <c r="M8" s="5"/>
      <c r="N8" s="5"/>
      <c r="O8" s="5"/>
      <c r="P8" s="5"/>
    </row>
    <row r="9" spans="1:16" ht="60" customHeight="1" thickTop="1" thickBot="1">
      <c r="A9" s="119">
        <v>1</v>
      </c>
      <c r="B9" s="121"/>
      <c r="C9" s="135" t="str">
        <f>IF(_xlfn.XLOOKUP(B9,link!AC:AC,link!AD:AD)=0,"",_xlfn.XLOOKUP(B9,link!AC:AC,link!AD:AD))</f>
        <v/>
      </c>
      <c r="D9" s="121"/>
      <c r="E9" s="249" t="str">
        <f>IF(D9="","",_xlfn.XLOOKUP($C$9&amp;$B$9&amp;D9,link!Z:Z,link!AA:AA,"無預算"))</f>
        <v/>
      </c>
      <c r="F9" s="289"/>
      <c r="G9" s="290"/>
      <c r="H9" s="290"/>
      <c r="I9" s="328"/>
      <c r="J9" s="329"/>
      <c r="K9" s="5"/>
      <c r="L9" s="320" t="s">
        <v>723</v>
      </c>
      <c r="M9" s="321"/>
      <c r="N9" s="321"/>
      <c r="O9" s="321"/>
      <c r="P9" s="322"/>
    </row>
    <row r="10" spans="1:16" ht="60" customHeight="1" thickTop="1">
      <c r="A10" s="119">
        <v>2</v>
      </c>
      <c r="B10" s="122"/>
      <c r="C10" s="135" t="str">
        <f>IF(_xlfn.XLOOKUP(B10,link!AC:AC,link!AD:AD)=0,"",_xlfn.XLOOKUP(B10,link!AC:AC,link!AD:AD))</f>
        <v/>
      </c>
      <c r="D10" s="122"/>
      <c r="E10" s="249" t="str">
        <f>IF(D10="","",_xlfn.XLOOKUP($C$10&amp;$B$10&amp;D10,link!Z:Z,link!AA:AA,"無預算"))</f>
        <v/>
      </c>
      <c r="F10" s="338"/>
      <c r="G10" s="339"/>
      <c r="H10" s="339"/>
      <c r="I10" s="330"/>
      <c r="J10" s="331"/>
      <c r="K10" s="5"/>
      <c r="L10" s="5"/>
      <c r="M10" s="5"/>
      <c r="N10" s="5"/>
      <c r="O10" s="5"/>
      <c r="P10" s="5"/>
    </row>
    <row r="11" spans="1:16" ht="60" customHeight="1">
      <c r="A11" s="119">
        <v>3</v>
      </c>
      <c r="B11" s="122"/>
      <c r="C11" s="135" t="str">
        <f>IF(_xlfn.XLOOKUP(B11,link!AC:AC,link!AD:AD)=0,"",_xlfn.XLOOKUP(B11,link!AC:AC,link!AD:AD))</f>
        <v/>
      </c>
      <c r="D11" s="122"/>
      <c r="E11" s="249" t="str">
        <f>IF(D11="","",_xlfn.XLOOKUP($C$11&amp;$B$11&amp;D11,link!Z:Z,link!AA:AA,"無預算"))</f>
        <v/>
      </c>
      <c r="F11" s="340"/>
      <c r="G11" s="339"/>
      <c r="H11" s="339"/>
      <c r="I11" s="330"/>
      <c r="J11" s="331"/>
      <c r="K11" s="5"/>
      <c r="L11" s="323" t="s">
        <v>832</v>
      </c>
      <c r="M11" s="323"/>
      <c r="N11" s="323"/>
      <c r="O11" s="323"/>
      <c r="P11" s="323"/>
    </row>
    <row r="12" spans="1:16" ht="60" customHeight="1">
      <c r="A12" s="119">
        <v>4</v>
      </c>
      <c r="B12" s="122"/>
      <c r="C12" s="135" t="str">
        <f>IF(_xlfn.XLOOKUP(B12,link!AC:AC,link!AD:AD)=0,"",_xlfn.XLOOKUP(B12,link!AC:AC,link!AD:AD))</f>
        <v/>
      </c>
      <c r="D12" s="122"/>
      <c r="E12" s="249" t="str">
        <f>IF(D12="","",_xlfn.XLOOKUP($C$12&amp;$B$12&amp;D12,link!Z:Z,link!AA:AA,"無預算"))</f>
        <v/>
      </c>
      <c r="F12" s="340"/>
      <c r="G12" s="339"/>
      <c r="H12" s="339"/>
      <c r="I12" s="330"/>
      <c r="J12" s="331"/>
      <c r="K12" s="5"/>
      <c r="L12" s="323"/>
      <c r="M12" s="323"/>
      <c r="N12" s="323"/>
      <c r="O12" s="323"/>
      <c r="P12" s="323"/>
    </row>
    <row r="13" spans="1:16" ht="60" customHeight="1">
      <c r="A13" s="119">
        <v>5</v>
      </c>
      <c r="B13" s="122"/>
      <c r="C13" s="135" t="str">
        <f>IF(_xlfn.XLOOKUP(B13,link!AC:AC,link!AD:AD)=0,"",_xlfn.XLOOKUP(B13,link!AC:AC,link!AD:AD))</f>
        <v/>
      </c>
      <c r="D13" s="122"/>
      <c r="E13" s="249" t="str">
        <f>IF(D13="","",_xlfn.XLOOKUP($C$13&amp;$B$13&amp;D13,link!Z:Z,link!AA:AA,"無預算"))</f>
        <v/>
      </c>
      <c r="F13" s="340"/>
      <c r="G13" s="339"/>
      <c r="H13" s="339"/>
      <c r="I13" s="330"/>
      <c r="J13" s="331"/>
      <c r="K13" s="5"/>
      <c r="L13" s="6"/>
      <c r="M13" s="6"/>
      <c r="N13" s="6"/>
      <c r="O13" s="6"/>
      <c r="P13" s="6"/>
    </row>
    <row r="14" spans="1:16" ht="60" customHeight="1" thickBot="1">
      <c r="A14" s="119">
        <v>6</v>
      </c>
      <c r="B14" s="123"/>
      <c r="C14" s="135" t="str">
        <f>IF(_xlfn.XLOOKUP(B14,link!AC:AC,link!AD:AD)=0,"",_xlfn.XLOOKUP(B14,link!AC:AC,link!AD:AD))</f>
        <v/>
      </c>
      <c r="D14" s="123"/>
      <c r="E14" s="249" t="str">
        <f>IF(D14="","",_xlfn.XLOOKUP($C$14&amp;$B$14&amp;D14,link!Z:Z,link!AA:AA,"無預算"))</f>
        <v/>
      </c>
      <c r="F14" s="341"/>
      <c r="G14" s="342"/>
      <c r="H14" s="342"/>
      <c r="I14" s="332"/>
      <c r="J14" s="333"/>
      <c r="K14" s="5"/>
      <c r="L14" s="5"/>
      <c r="M14" s="5"/>
      <c r="N14" s="5"/>
      <c r="O14" s="5"/>
      <c r="P14" s="5"/>
    </row>
    <row r="15" spans="1:16" ht="40.35" customHeight="1" thickTop="1">
      <c r="A15" s="335" t="s">
        <v>833</v>
      </c>
      <c r="B15" s="336"/>
      <c r="C15" s="336"/>
      <c r="D15" s="337"/>
      <c r="E15" s="337"/>
      <c r="F15" s="337"/>
      <c r="G15" s="337"/>
      <c r="H15" s="337"/>
      <c r="I15" s="324" t="str">
        <f>IF(SUM(I9:I14)-ROUNDDOWN(SUM(I9:I14),0)&gt;0,TEXT(SUM(I9:I14),"#,##0.00"),TEXT(SUM(I9:I14),"#,##0"))</f>
        <v>0</v>
      </c>
      <c r="J15" s="325"/>
      <c r="K15" s="5"/>
      <c r="L15" s="5"/>
      <c r="M15" s="5"/>
      <c r="N15" s="5"/>
      <c r="O15" s="5"/>
      <c r="P15" s="5"/>
    </row>
    <row r="16" spans="1:16" ht="24" customHeight="1" thickBot="1">
      <c r="A16" s="352" t="s">
        <v>834</v>
      </c>
      <c r="B16" s="353"/>
      <c r="C16" s="353"/>
      <c r="D16" s="353"/>
      <c r="E16" s="353"/>
      <c r="F16" s="353"/>
      <c r="G16" s="353"/>
      <c r="H16" s="353"/>
      <c r="I16" s="353"/>
      <c r="J16" s="299"/>
      <c r="K16" s="5"/>
      <c r="L16" s="5"/>
      <c r="M16" s="5"/>
      <c r="N16" s="5"/>
      <c r="O16" s="5"/>
      <c r="P16" s="5"/>
    </row>
    <row r="17" spans="1:16" ht="24" customHeight="1" thickTop="1">
      <c r="A17" s="12"/>
      <c r="B17" s="175" t="s">
        <v>835</v>
      </c>
      <c r="C17" s="288" t="s">
        <v>836</v>
      </c>
      <c r="D17" s="288"/>
      <c r="E17" s="178" t="s">
        <v>837</v>
      </c>
      <c r="F17" s="284"/>
      <c r="G17" s="284"/>
      <c r="H17" s="284"/>
      <c r="I17" s="285"/>
      <c r="J17" s="13"/>
      <c r="K17" s="5"/>
      <c r="L17" s="5"/>
      <c r="M17" s="5"/>
      <c r="N17" s="5"/>
      <c r="O17" s="5"/>
      <c r="P17" s="5"/>
    </row>
    <row r="18" spans="1:16" ht="24" customHeight="1">
      <c r="A18" s="12"/>
      <c r="B18" s="176" t="s">
        <v>838</v>
      </c>
      <c r="C18" s="275" t="s">
        <v>136</v>
      </c>
      <c r="D18" s="275"/>
      <c r="E18" s="81" t="s">
        <v>839</v>
      </c>
      <c r="F18" s="326"/>
      <c r="G18" s="326"/>
      <c r="H18" s="326"/>
      <c r="I18" s="327"/>
      <c r="J18" s="13"/>
      <c r="K18" s="5"/>
      <c r="L18" s="5"/>
      <c r="M18" s="5"/>
      <c r="N18" s="5"/>
      <c r="O18" s="5"/>
      <c r="P18" s="5"/>
    </row>
    <row r="19" spans="1:16" ht="24" customHeight="1" thickBot="1">
      <c r="A19" s="12"/>
      <c r="B19" s="177" t="s">
        <v>840</v>
      </c>
      <c r="C19" s="276"/>
      <c r="D19" s="276"/>
      <c r="E19" s="179" t="s">
        <v>841</v>
      </c>
      <c r="F19" s="277"/>
      <c r="G19" s="277"/>
      <c r="H19" s="277"/>
      <c r="I19" s="278"/>
      <c r="J19" s="13"/>
      <c r="K19" s="5"/>
      <c r="L19" s="5"/>
      <c r="M19" s="5"/>
      <c r="N19" s="5"/>
      <c r="O19" s="5"/>
      <c r="P19" s="5"/>
    </row>
    <row r="20" spans="1:16" ht="24" customHeight="1" thickTop="1">
      <c r="A20" s="15"/>
      <c r="B20" s="279" t="s">
        <v>842</v>
      </c>
      <c r="C20" s="279"/>
      <c r="D20" s="279"/>
      <c r="E20" s="279"/>
      <c r="F20" s="279"/>
      <c r="G20" s="279"/>
      <c r="H20" s="279"/>
      <c r="I20" s="279"/>
      <c r="J20" s="16"/>
      <c r="K20" s="5"/>
      <c r="L20" s="5"/>
      <c r="M20" s="5"/>
      <c r="N20" s="5"/>
      <c r="O20" s="5"/>
      <c r="P20" s="5"/>
    </row>
    <row r="21" spans="1:16">
      <c r="A21" s="343" t="s">
        <v>843</v>
      </c>
      <c r="B21" s="344"/>
      <c r="C21" s="344"/>
      <c r="D21" s="344"/>
      <c r="E21" s="344"/>
      <c r="F21" s="344"/>
      <c r="G21" s="344"/>
      <c r="H21" s="344"/>
      <c r="I21" s="344"/>
      <c r="J21" s="345"/>
      <c r="K21" s="5"/>
      <c r="L21" s="5"/>
      <c r="M21" s="5"/>
      <c r="N21" s="5"/>
      <c r="O21" s="5"/>
      <c r="P21" s="5"/>
    </row>
    <row r="22" spans="1:16">
      <c r="A22" s="346"/>
      <c r="B22" s="347"/>
      <c r="C22" s="347"/>
      <c r="D22" s="347"/>
      <c r="E22" s="347"/>
      <c r="F22" s="347"/>
      <c r="G22" s="347"/>
      <c r="H22" s="347"/>
      <c r="I22" s="347"/>
      <c r="J22" s="348"/>
      <c r="K22" s="5"/>
      <c r="L22" s="5"/>
      <c r="M22" s="5"/>
      <c r="N22" s="5"/>
      <c r="O22" s="5"/>
      <c r="P22" s="5"/>
    </row>
    <row r="23" spans="1:16">
      <c r="A23" s="346"/>
      <c r="B23" s="347"/>
      <c r="C23" s="347"/>
      <c r="D23" s="347"/>
      <c r="E23" s="347"/>
      <c r="F23" s="347"/>
      <c r="G23" s="347"/>
      <c r="H23" s="347"/>
      <c r="I23" s="347"/>
      <c r="J23" s="348"/>
      <c r="K23" s="5"/>
      <c r="L23" s="5"/>
      <c r="M23" s="5"/>
      <c r="N23" s="5"/>
      <c r="O23" s="5"/>
      <c r="P23" s="5"/>
    </row>
    <row r="24" spans="1:16">
      <c r="A24" s="346"/>
      <c r="B24" s="347"/>
      <c r="C24" s="347"/>
      <c r="D24" s="347"/>
      <c r="E24" s="347"/>
      <c r="F24" s="347"/>
      <c r="G24" s="347"/>
      <c r="H24" s="347"/>
      <c r="I24" s="347"/>
      <c r="J24" s="348"/>
      <c r="K24" s="5"/>
      <c r="L24" s="5"/>
      <c r="M24" s="5"/>
      <c r="N24" s="5"/>
      <c r="O24" s="5"/>
      <c r="P24" s="5"/>
    </row>
    <row r="25" spans="1:16" ht="16.350000000000001" customHeight="1">
      <c r="A25" s="349"/>
      <c r="B25" s="350"/>
      <c r="C25" s="350"/>
      <c r="D25" s="350"/>
      <c r="E25" s="350"/>
      <c r="F25" s="350"/>
      <c r="G25" s="350"/>
      <c r="H25" s="350"/>
      <c r="I25" s="350"/>
      <c r="J25" s="351"/>
      <c r="K25" s="5"/>
      <c r="L25" s="5"/>
      <c r="M25" s="5"/>
      <c r="N25" s="5"/>
      <c r="O25" s="5"/>
      <c r="P25" s="5"/>
    </row>
    <row r="26" spans="1:16">
      <c r="A26" s="315" t="s">
        <v>789</v>
      </c>
      <c r="B26" s="318"/>
      <c r="C26" s="318"/>
      <c r="D26" s="318"/>
      <c r="E26" s="318"/>
      <c r="F26" s="318"/>
      <c r="G26" s="318"/>
      <c r="H26" s="318"/>
      <c r="I26" s="318"/>
      <c r="J26" s="354"/>
      <c r="K26" s="5"/>
      <c r="L26" s="5"/>
      <c r="M26" s="5"/>
      <c r="N26" s="5"/>
      <c r="O26" s="5"/>
      <c r="P26" s="5"/>
    </row>
    <row r="27" spans="1:16" ht="22.5" customHeight="1">
      <c r="A27" s="280" t="s">
        <v>844</v>
      </c>
      <c r="B27" s="281"/>
      <c r="C27" s="281"/>
      <c r="D27" s="281"/>
      <c r="E27" s="281"/>
      <c r="F27" s="281"/>
      <c r="G27" s="281"/>
      <c r="H27" s="281"/>
      <c r="I27" s="281"/>
      <c r="J27" s="282"/>
      <c r="K27" s="5"/>
      <c r="L27" s="226"/>
      <c r="M27" s="5"/>
      <c r="N27" s="5"/>
      <c r="O27" s="5"/>
      <c r="P27" s="5"/>
    </row>
    <row r="28" spans="1:16" ht="22.5" customHeight="1">
      <c r="A28" s="269" t="s">
        <v>845</v>
      </c>
      <c r="B28" s="270"/>
      <c r="C28" s="270"/>
      <c r="D28" s="270"/>
      <c r="E28" s="270"/>
      <c r="F28" s="270"/>
      <c r="G28" s="270"/>
      <c r="H28" s="270"/>
      <c r="I28" s="270"/>
      <c r="J28" s="271"/>
      <c r="K28" s="5"/>
      <c r="L28" s="5"/>
      <c r="M28" s="5"/>
      <c r="N28" s="5"/>
      <c r="O28" s="5"/>
      <c r="P28" s="5"/>
    </row>
    <row r="29" spans="1:16" ht="22.5" customHeight="1">
      <c r="A29" s="269" t="s">
        <v>846</v>
      </c>
      <c r="B29" s="270"/>
      <c r="C29" s="270"/>
      <c r="D29" s="270"/>
      <c r="E29" s="270"/>
      <c r="F29" s="270"/>
      <c r="G29" s="270"/>
      <c r="H29" s="270"/>
      <c r="I29" s="270"/>
      <c r="J29" s="271"/>
      <c r="K29" s="5"/>
      <c r="L29" s="5"/>
      <c r="M29" s="5"/>
      <c r="N29" s="5"/>
      <c r="O29" s="5"/>
      <c r="P29" s="5"/>
    </row>
    <row r="30" spans="1:16" ht="22.5" customHeight="1">
      <c r="A30" s="269" t="s">
        <v>847</v>
      </c>
      <c r="B30" s="270"/>
      <c r="C30" s="270"/>
      <c r="D30" s="270"/>
      <c r="E30" s="270"/>
      <c r="F30" s="270"/>
      <c r="G30" s="270"/>
      <c r="H30" s="270"/>
      <c r="I30" s="270"/>
      <c r="J30" s="271"/>
      <c r="K30" s="5"/>
      <c r="L30" s="5"/>
      <c r="M30" s="5"/>
      <c r="N30" s="5"/>
      <c r="O30" s="5"/>
      <c r="P30" s="5"/>
    </row>
    <row r="31" spans="1:16" ht="22.5" customHeight="1">
      <c r="A31" s="269" t="s">
        <v>848</v>
      </c>
      <c r="B31" s="270"/>
      <c r="C31" s="270"/>
      <c r="D31" s="270"/>
      <c r="E31" s="270"/>
      <c r="F31" s="270"/>
      <c r="G31" s="270"/>
      <c r="H31" s="270"/>
      <c r="I31" s="270"/>
      <c r="J31" s="271"/>
      <c r="K31" s="5"/>
      <c r="L31" s="5"/>
      <c r="M31" s="5"/>
      <c r="N31" s="5"/>
      <c r="O31" s="5"/>
      <c r="P31" s="5"/>
    </row>
    <row r="32" spans="1:16" ht="22.5" customHeight="1">
      <c r="A32" s="269" t="s">
        <v>849</v>
      </c>
      <c r="B32" s="270"/>
      <c r="C32" s="270"/>
      <c r="D32" s="270"/>
      <c r="E32" s="270"/>
      <c r="F32" s="270"/>
      <c r="G32" s="270"/>
      <c r="H32" s="270"/>
      <c r="I32" s="270"/>
      <c r="J32" s="271"/>
      <c r="K32" s="5"/>
      <c r="L32" s="5"/>
      <c r="M32" s="5"/>
      <c r="N32" s="5"/>
      <c r="O32" s="5"/>
      <c r="P32" s="5"/>
    </row>
    <row r="33" spans="1:16" ht="22.5" customHeight="1">
      <c r="A33" s="272" t="s">
        <v>850</v>
      </c>
      <c r="B33" s="273"/>
      <c r="C33" s="273"/>
      <c r="D33" s="273"/>
      <c r="E33" s="273"/>
      <c r="F33" s="273"/>
      <c r="G33" s="273"/>
      <c r="H33" s="273"/>
      <c r="I33" s="273"/>
      <c r="J33" s="274"/>
      <c r="K33" s="5"/>
      <c r="L33" s="5"/>
      <c r="M33" s="5"/>
      <c r="N33" s="5"/>
      <c r="O33" s="5"/>
      <c r="P33" s="5"/>
    </row>
    <row r="34" spans="1:16" ht="21" customHeight="1">
      <c r="A34" s="315" t="s">
        <v>851</v>
      </c>
      <c r="B34" s="316"/>
      <c r="C34" s="317" t="s">
        <v>817</v>
      </c>
      <c r="D34" s="318"/>
      <c r="E34" s="316"/>
      <c r="F34" s="319" t="s">
        <v>746</v>
      </c>
      <c r="G34" s="319"/>
      <c r="H34" s="180" t="s">
        <v>747</v>
      </c>
      <c r="I34" s="298" t="s">
        <v>748</v>
      </c>
      <c r="J34" s="299"/>
      <c r="K34" s="5"/>
      <c r="L34" s="5"/>
      <c r="M34" s="5"/>
      <c r="N34" s="5"/>
      <c r="O34" s="5"/>
      <c r="P34" s="5"/>
    </row>
    <row r="35" spans="1:16" ht="20.100000000000001" customHeight="1">
      <c r="A35" s="315" t="e">
        <f>IF(AND(E35="沈大維",F35="沈大維",H35="沈大維"),"沈大維+陳維隆",IF(SUM(I9:I14)&gt;=100000,"沈大維+陳維隆","沈大維"))</f>
        <v>#N/A</v>
      </c>
      <c r="B35" s="316"/>
      <c r="C35" s="61" t="e">
        <f>_xlfn.XLOOKUP(C11,link!AD:AD,link!AE:AE)</f>
        <v>#N/A</v>
      </c>
      <c r="D35" s="61" t="e">
        <f>_xlfn.XLOOKUP(C10,link!AD:AD,link!AE:AE)</f>
        <v>#N/A</v>
      </c>
      <c r="E35" s="61" t="e">
        <f>_xlfn.XLOOKUP(C9,link!AD:AD,link!AE:AE)</f>
        <v>#N/A</v>
      </c>
      <c r="F35" s="319" t="str">
        <f>_xlfn.XLOOKUP(G6,link!B:B,link!F:F,"")</f>
        <v>吳旭東</v>
      </c>
      <c r="G35" s="319"/>
      <c r="H35" s="137" t="str">
        <f>H6</f>
        <v>李盈萱</v>
      </c>
      <c r="I35" s="300"/>
      <c r="J35" s="301"/>
      <c r="K35" s="5"/>
      <c r="L35" s="5"/>
      <c r="M35" s="5"/>
      <c r="N35" s="5"/>
      <c r="O35" s="5"/>
      <c r="P35" s="5"/>
    </row>
    <row r="36" spans="1:16" ht="60" customHeight="1">
      <c r="A36" s="312"/>
      <c r="B36" s="307"/>
      <c r="C36" s="128"/>
      <c r="D36" s="129"/>
      <c r="E36" s="128"/>
      <c r="F36" s="306"/>
      <c r="G36" s="307"/>
      <c r="H36" s="294"/>
      <c r="I36" s="298"/>
      <c r="J36" s="299"/>
      <c r="K36" s="5"/>
      <c r="L36" s="5"/>
      <c r="M36" s="5"/>
      <c r="N36" s="5"/>
      <c r="O36" s="5"/>
      <c r="P36" s="5"/>
    </row>
    <row r="37" spans="1:16" ht="20.100000000000001" customHeight="1">
      <c r="A37" s="313"/>
      <c r="B37" s="309"/>
      <c r="C37" s="128" t="e">
        <f>_xlfn.XLOOKUP(C14,link!AD:AD,link!AE:AE)</f>
        <v>#N/A</v>
      </c>
      <c r="D37" s="129" t="e">
        <f>_xlfn.XLOOKUP(C13,link!AD:AD,link!AE:AE)</f>
        <v>#N/A</v>
      </c>
      <c r="E37" s="128" t="e">
        <f>_xlfn.XLOOKUP(C12,link!AD:AD,link!AE:AE)</f>
        <v>#N/A</v>
      </c>
      <c r="F37" s="308"/>
      <c r="G37" s="309"/>
      <c r="H37" s="295"/>
      <c r="I37" s="302"/>
      <c r="J37" s="303"/>
      <c r="K37" s="5"/>
      <c r="L37" s="5"/>
      <c r="M37" s="5"/>
      <c r="N37" s="5"/>
      <c r="O37" s="5"/>
      <c r="P37" s="5"/>
    </row>
    <row r="38" spans="1:16" ht="60" customHeight="1" thickBot="1">
      <c r="A38" s="314"/>
      <c r="B38" s="311"/>
      <c r="C38" s="181"/>
      <c r="D38" s="182"/>
      <c r="E38" s="181"/>
      <c r="F38" s="310"/>
      <c r="G38" s="311"/>
      <c r="H38" s="296"/>
      <c r="I38" s="304"/>
      <c r="J38" s="305"/>
      <c r="K38" s="5"/>
      <c r="L38" s="5"/>
      <c r="M38" s="5"/>
      <c r="N38" s="5"/>
      <c r="O38" s="5"/>
      <c r="P38" s="5"/>
    </row>
    <row r="39" spans="1:16" s="233" customFormat="1" ht="17.100000000000001" customHeight="1">
      <c r="A39" s="297" t="s">
        <v>852</v>
      </c>
      <c r="B39" s="297"/>
      <c r="C39" s="297"/>
      <c r="D39" s="297"/>
      <c r="E39" s="297"/>
      <c r="F39" s="297"/>
      <c r="G39" s="297"/>
      <c r="H39" s="297"/>
      <c r="I39" s="297"/>
      <c r="J39" s="297"/>
      <c r="K39" s="232"/>
      <c r="L39" s="232"/>
      <c r="M39" s="232"/>
      <c r="N39" s="232"/>
      <c r="O39" s="232"/>
      <c r="P39" s="232"/>
    </row>
  </sheetData>
  <sheetProtection algorithmName="SHA-512" hashValue="1mIkcNbvKhbE6Cto2q54EOAVwMLF2n5IE2KP3Hyv9jZpT+YSlg9gVMg2PoRQruTOJXg5GrNImqxoyKYtIqF2vQ==" saltValue="U+7a4pHAbDbaCI/f3FtNaQ==" spinCount="100000" sheet="1" formatCells="0" formatRows="0" selectLockedCells="1"/>
  <protectedRanges>
    <protectedRange sqref="G6 A21:J25 D9:I14 C17 B17:B19 E17 G17:I19 E19" name="範圍1"/>
    <protectedRange sqref="C18 E18" name="範圍1_1"/>
  </protectedRanges>
  <customSheetViews>
    <customSheetView guid="{35D388E4-CC07-43EA-A28A-E86A81E2BB3C}" scale="78" showPageBreaks="1" fitToPage="1" printArea="1">
      <selection activeCell="P17" sqref="P17"/>
      <pageMargins left="0" right="0" top="0" bottom="0" header="0" footer="0"/>
      <printOptions horizontalCentered="1"/>
      <pageSetup paperSize="9" scale="90" orientation="portrait" r:id="rId1"/>
    </customSheetView>
  </customSheetViews>
  <mergeCells count="53">
    <mergeCell ref="A2:I2"/>
    <mergeCell ref="A15:H15"/>
    <mergeCell ref="F34:G34"/>
    <mergeCell ref="F10:H10"/>
    <mergeCell ref="F11:H11"/>
    <mergeCell ref="F12:H12"/>
    <mergeCell ref="F13:H13"/>
    <mergeCell ref="F14:H14"/>
    <mergeCell ref="A3:I3"/>
    <mergeCell ref="A6:D6"/>
    <mergeCell ref="A21:J25"/>
    <mergeCell ref="A16:J16"/>
    <mergeCell ref="A26:J26"/>
    <mergeCell ref="A5:B5"/>
    <mergeCell ref="C5:D5"/>
    <mergeCell ref="E5:F5"/>
    <mergeCell ref="L9:P9"/>
    <mergeCell ref="L11:P12"/>
    <mergeCell ref="I15:J15"/>
    <mergeCell ref="F18:I18"/>
    <mergeCell ref="I9:J9"/>
    <mergeCell ref="I10:J10"/>
    <mergeCell ref="I11:J11"/>
    <mergeCell ref="I12:J12"/>
    <mergeCell ref="I13:J13"/>
    <mergeCell ref="I14:J14"/>
    <mergeCell ref="H36:H38"/>
    <mergeCell ref="A39:J39"/>
    <mergeCell ref="I34:J35"/>
    <mergeCell ref="I36:J38"/>
    <mergeCell ref="F36:G38"/>
    <mergeCell ref="A36:B38"/>
    <mergeCell ref="A34:B34"/>
    <mergeCell ref="A35:B35"/>
    <mergeCell ref="C34:E34"/>
    <mergeCell ref="F35:G35"/>
    <mergeCell ref="E6:F6"/>
    <mergeCell ref="F17:I17"/>
    <mergeCell ref="I8:J8"/>
    <mergeCell ref="C17:D17"/>
    <mergeCell ref="F9:H9"/>
    <mergeCell ref="F8:H8"/>
    <mergeCell ref="A31:J31"/>
    <mergeCell ref="A32:J32"/>
    <mergeCell ref="A33:J33"/>
    <mergeCell ref="C18:D18"/>
    <mergeCell ref="C19:D19"/>
    <mergeCell ref="F19:I19"/>
    <mergeCell ref="B20:I20"/>
    <mergeCell ref="A27:J27"/>
    <mergeCell ref="A28:J28"/>
    <mergeCell ref="A29:J29"/>
    <mergeCell ref="A30:J30"/>
  </mergeCells>
  <phoneticPr fontId="3" type="noConversion"/>
  <conditionalFormatting sqref="E17:E19">
    <cfRule type="expression" dxfId="2" priority="27">
      <formula>$C$17="本公司員工(申請人)"</formula>
    </cfRule>
    <cfRule type="expression" dxfId="1" priority="28">
      <formula>$C$17="本公司員工(經辦)"</formula>
    </cfRule>
  </conditionalFormatting>
  <conditionalFormatting sqref="F9:I14">
    <cfRule type="expression" dxfId="0" priority="3">
      <formula>$E9="無預算"</formula>
    </cfRule>
  </conditionalFormatting>
  <dataValidations xWindow="120" yWindow="686" count="4">
    <dataValidation allowBlank="1" showInputMessage="1" showErrorMessage="1" promptTitle="請輸入內容或說明" prompt="本筆費用之規格/型號/服務內容...等敘述，請盡量填寫，免得要反覆詢問" sqref="F9:H14" xr:uid="{40DB14FC-EF86-4C2A-99E2-4FA789450EF6}"/>
    <dataValidation type="list" allowBlank="1" showInputMessage="1" showErrorMessage="1" promptTitle="請選擇付款對象" prompt="員工代墊請選本公司員工; 其餘選外部廠商" sqref="C17" xr:uid="{B0E42225-2D9C-4FE9-9433-23615A9A1DB3}">
      <formula1>"本公司員工(經辦),本公司員工(申請人),外部廠商"</formula1>
    </dataValidation>
    <dataValidation type="list" allowBlank="1" showInputMessage="1" showErrorMessage="1" promptTitle="預算來源" prompt="請選取相對應的預算來源，部門預算請選該部門、專案預算請選專案名稱_x000a_若找不到相對應的預算，請先確定預算申請是否完成" sqref="E7:I7" xr:uid="{A9A58B62-3881-4232-BCF2-A422182D6F58}">
      <formula1>#REF!</formula1>
    </dataValidation>
    <dataValidation allowBlank="1" showErrorMessage="1" promptTitle="預算來源" prompt="請選取相對應的預算來源，部門預算請選該部門、專案預算請選專案名稱_x000a_若找不到相對應的預算，請先確定預算申請是否完成" sqref="C9:C14" xr:uid="{C5AF2630-76F3-4902-8FEC-0DD933266BF0}"/>
  </dataValidations>
  <printOptions horizontalCentered="1"/>
  <pageMargins left="0.15748031496062992" right="0.15748031496062992" top="0.39370078740157483" bottom="0.19685039370078741" header="0.19685039370078741" footer="0.19685039370078741"/>
  <pageSetup paperSize="9" scale="72" orientation="portrait" cellComments="asDisplayed" r:id="rId2"/>
  <extLst>
    <ext xmlns:x14="http://schemas.microsoft.com/office/spreadsheetml/2009/9/main" uri="{CCE6A557-97BC-4b89-ADB6-D9C93CAAB3DF}">
      <x14:dataValidations xmlns:xm="http://schemas.microsoft.com/office/excel/2006/main" xWindow="120" yWindow="686" count="3">
        <x14:dataValidation type="list" allowBlank="1" showErrorMessage="1" promptTitle="付款方式" prompt="請選取跟廠商議定好的付款管道, 如匯款, 支票..." xr:uid="{FB9DFE5E-1F54-45E4-B9A8-1BEC8A64C928}">
          <x14:formula1>
            <xm:f>link!$J$2:$J$8</xm:f>
          </x14:formula1>
          <xm:sqref>C18:D18</xm:sqref>
        </x14:dataValidation>
        <x14:dataValidation type="list" allowBlank="1" showInputMessage="1" showErrorMessage="1" promptTitle="請選取預算項目" prompt="若選取後預算編號顯示為無預算，請洽管理部進行預算新增作業" xr:uid="{3B3CDB93-8823-4FC3-A74A-C3DFD023623F}">
          <x14:formula1>
            <xm:f>link!$AG$2:$AG$33</xm:f>
          </x14:formula1>
          <xm:sqref>D10:D14 D9</xm:sqref>
        </x14:dataValidation>
        <x14:dataValidation type="list" allowBlank="1" showInputMessage="1" showErrorMessage="1" promptTitle="預算來源" prompt="請選取相對應的預算來源，部門預算請選該部門、專案預算請選專案名稱_x000a_若找不到相對應的預算，請先確定預算申請是否完成" xr:uid="{46968C78-94A8-42FB-A73D-3C38D437D2F8}">
          <x14:formula1>
            <xm:f>link!$AI$1:$AI$22</xm:f>
          </x14:formula1>
          <xm:sqref>B9:B14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DF11-BF57-472E-AD51-05BA859E85EC}">
  <sheetPr codeName="工作表9">
    <tabColor rgb="FFFFC000"/>
    <pageSetUpPr fitToPage="1"/>
  </sheetPr>
  <dimension ref="A1:I22"/>
  <sheetViews>
    <sheetView showGridLines="0" view="pageBreakPreview" zoomScaleNormal="80" zoomScaleSheetLayoutView="100" workbookViewId="0">
      <selection activeCell="A19" sqref="A19:J19"/>
    </sheetView>
  </sheetViews>
  <sheetFormatPr defaultColWidth="9" defaultRowHeight="16.2"/>
  <cols>
    <col min="1" max="1" width="4.77734375" style="28" customWidth="1"/>
    <col min="2" max="2" width="13.33203125" style="28" customWidth="1"/>
    <col min="3" max="3" width="22.33203125" style="28" customWidth="1"/>
    <col min="4" max="4" width="28.88671875" style="28" customWidth="1"/>
    <col min="5" max="5" width="17.44140625" style="28" customWidth="1"/>
    <col min="6" max="6" width="8.109375" style="28" customWidth="1"/>
    <col min="7" max="7" width="7.44140625" style="28" customWidth="1"/>
    <col min="8" max="8" width="17.44140625" style="28" customWidth="1"/>
    <col min="9" max="16384" width="9" style="28"/>
  </cols>
  <sheetData>
    <row r="1" spans="1:9">
      <c r="A1" s="24" t="str">
        <f>'1.請購單'!A1</f>
        <v>20260709版</v>
      </c>
      <c r="B1" s="25"/>
      <c r="C1" s="26"/>
      <c r="D1" s="26"/>
      <c r="E1" s="26"/>
      <c r="F1" s="26"/>
      <c r="G1" s="26"/>
      <c r="H1" s="26"/>
      <c r="I1" s="27"/>
    </row>
    <row r="2" spans="1:9" ht="23.4">
      <c r="A2" s="560" t="s">
        <v>714</v>
      </c>
      <c r="B2" s="560"/>
      <c r="C2" s="560"/>
      <c r="D2" s="560"/>
      <c r="E2" s="560"/>
      <c r="F2" s="560"/>
      <c r="G2" s="560"/>
      <c r="H2" s="560"/>
      <c r="I2" s="27"/>
    </row>
    <row r="3" spans="1:9" ht="23.4">
      <c r="A3" s="560" t="s">
        <v>853</v>
      </c>
      <c r="B3" s="560"/>
      <c r="C3" s="560"/>
      <c r="D3" s="560"/>
      <c r="E3" s="560"/>
      <c r="F3" s="560"/>
      <c r="G3" s="560"/>
      <c r="H3" s="560"/>
      <c r="I3" s="27"/>
    </row>
    <row r="4" spans="1:9">
      <c r="A4" s="29"/>
      <c r="B4" s="29"/>
      <c r="C4" s="29"/>
      <c r="D4" s="29"/>
      <c r="E4" s="29"/>
      <c r="F4" s="29"/>
      <c r="G4" s="29"/>
      <c r="H4" s="29"/>
      <c r="I4" s="27"/>
    </row>
    <row r="5" spans="1:9" ht="30.75" customHeight="1" thickBot="1">
      <c r="A5" s="466" t="s">
        <v>822</v>
      </c>
      <c r="B5" s="466"/>
      <c r="C5" s="561">
        <f ca="1">NOW()</f>
        <v>46212.465342824071</v>
      </c>
      <c r="D5" s="561"/>
      <c r="E5" s="30" t="s">
        <v>717</v>
      </c>
      <c r="F5" s="126" t="str">
        <f>_xlfn.XLOOKUP(F6,link!B:B,link!E:E,"")</f>
        <v>S&amp;M</v>
      </c>
      <c r="G5" s="406" t="str">
        <f>_xlfn.XLOOKUP(F6,link!B:B,link!D:D,"")</f>
        <v>營業行銷部</v>
      </c>
      <c r="H5" s="406"/>
      <c r="I5" s="27"/>
    </row>
    <row r="6" spans="1:9" ht="30.75" customHeight="1" thickTop="1" thickBot="1">
      <c r="A6" s="33"/>
      <c r="B6" s="30" t="s">
        <v>854</v>
      </c>
      <c r="C6" s="562">
        <v>45713</v>
      </c>
      <c r="D6" s="563"/>
      <c r="E6" s="32" t="s">
        <v>720</v>
      </c>
      <c r="F6" s="125" t="s">
        <v>825</v>
      </c>
      <c r="G6" s="407" t="str">
        <f>_xlfn.XLOOKUP(F6,link!B:B,link!C:C,"查無此人")</f>
        <v>王婷筠</v>
      </c>
      <c r="H6" s="408"/>
      <c r="I6" s="27"/>
    </row>
    <row r="7" spans="1:9" ht="30.75" customHeight="1" thickTop="1" thickBot="1">
      <c r="A7" s="33"/>
      <c r="B7" s="30"/>
      <c r="C7" s="559"/>
      <c r="D7" s="559"/>
      <c r="E7" s="34"/>
      <c r="F7" s="34"/>
      <c r="G7" s="34"/>
      <c r="H7" s="34"/>
      <c r="I7" s="27"/>
    </row>
    <row r="8" spans="1:9" ht="34.5" customHeight="1">
      <c r="A8" s="86" t="s">
        <v>726</v>
      </c>
      <c r="B8" s="35" t="s">
        <v>855</v>
      </c>
      <c r="C8" s="36" t="s">
        <v>856</v>
      </c>
      <c r="D8" s="36" t="s">
        <v>857</v>
      </c>
      <c r="E8" s="36" t="s">
        <v>858</v>
      </c>
      <c r="F8" s="36" t="s">
        <v>732</v>
      </c>
      <c r="G8" s="96" t="s">
        <v>859</v>
      </c>
      <c r="H8" s="88" t="s">
        <v>860</v>
      </c>
      <c r="I8" s="27"/>
    </row>
    <row r="9" spans="1:9" ht="45.6" customHeight="1">
      <c r="A9" s="85">
        <v>1</v>
      </c>
      <c r="B9" s="87"/>
      <c r="C9" s="244"/>
      <c r="D9" s="245"/>
      <c r="E9" s="245"/>
      <c r="F9" s="39"/>
      <c r="G9" s="97"/>
      <c r="H9" s="89"/>
      <c r="I9" s="27"/>
    </row>
    <row r="10" spans="1:9" ht="44.25" customHeight="1">
      <c r="A10" s="85">
        <v>2</v>
      </c>
      <c r="B10" s="87"/>
      <c r="C10" s="244"/>
      <c r="D10" s="245"/>
      <c r="E10" s="245"/>
      <c r="F10" s="39"/>
      <c r="G10" s="97"/>
      <c r="H10" s="89"/>
      <c r="I10" s="27"/>
    </row>
    <row r="11" spans="1:9" ht="44.25" customHeight="1">
      <c r="A11" s="85">
        <v>3</v>
      </c>
      <c r="B11" s="87"/>
      <c r="C11" s="244"/>
      <c r="D11" s="245"/>
      <c r="E11" s="245"/>
      <c r="F11" s="39"/>
      <c r="G11" s="97"/>
      <c r="H11" s="89"/>
      <c r="I11" s="27"/>
    </row>
    <row r="12" spans="1:9" ht="44.25" customHeight="1">
      <c r="A12" s="85">
        <v>4</v>
      </c>
      <c r="B12" s="87"/>
      <c r="C12" s="244"/>
      <c r="D12" s="245"/>
      <c r="E12" s="245"/>
      <c r="F12" s="39"/>
      <c r="G12" s="97"/>
      <c r="H12" s="89"/>
      <c r="I12" s="27"/>
    </row>
    <row r="13" spans="1:9" ht="44.25" customHeight="1">
      <c r="A13" s="85">
        <v>5</v>
      </c>
      <c r="B13" s="87"/>
      <c r="C13" s="244"/>
      <c r="D13" s="245"/>
      <c r="E13" s="245"/>
      <c r="F13" s="39"/>
      <c r="G13" s="97"/>
      <c r="H13" s="89"/>
      <c r="I13" s="27"/>
    </row>
    <row r="14" spans="1:9" ht="44.25" customHeight="1">
      <c r="A14" s="85">
        <v>6</v>
      </c>
      <c r="B14" s="87"/>
      <c r="C14" s="244"/>
      <c r="D14" s="245"/>
      <c r="E14" s="245"/>
      <c r="F14" s="39"/>
      <c r="G14" s="97"/>
      <c r="H14" s="89"/>
      <c r="I14" s="27"/>
    </row>
    <row r="15" spans="1:9" ht="44.25" customHeight="1">
      <c r="A15" s="85">
        <v>7</v>
      </c>
      <c r="B15" s="87"/>
      <c r="C15" s="244"/>
      <c r="D15" s="245"/>
      <c r="E15" s="245"/>
      <c r="F15" s="39"/>
      <c r="G15" s="97"/>
      <c r="H15" s="89"/>
      <c r="I15" s="27"/>
    </row>
    <row r="16" spans="1:9" ht="44.25" customHeight="1" thickBot="1">
      <c r="A16" s="90">
        <v>8</v>
      </c>
      <c r="B16" s="91"/>
      <c r="C16" s="244"/>
      <c r="D16" s="246"/>
      <c r="E16" s="246"/>
      <c r="F16" s="92"/>
      <c r="G16" s="98"/>
      <c r="H16" s="93"/>
      <c r="I16" s="27"/>
    </row>
    <row r="17" spans="1:9">
      <c r="A17" s="94"/>
      <c r="B17" s="565"/>
      <c r="C17" s="565"/>
      <c r="D17" s="565"/>
      <c r="E17" s="565"/>
      <c r="F17" s="565"/>
      <c r="G17" s="565"/>
      <c r="H17" s="565"/>
      <c r="I17" s="27"/>
    </row>
    <row r="18" spans="1:9" ht="44.25" customHeight="1">
      <c r="A18" s="567" t="s">
        <v>750</v>
      </c>
      <c r="B18" s="567"/>
      <c r="C18" s="61" t="s">
        <v>751</v>
      </c>
      <c r="D18" s="567" t="s">
        <v>752</v>
      </c>
      <c r="E18" s="567"/>
      <c r="F18" s="564" t="s">
        <v>753</v>
      </c>
      <c r="G18" s="564"/>
      <c r="H18" s="564"/>
      <c r="I18" s="27"/>
    </row>
    <row r="19" spans="1:9" ht="44.25" customHeight="1">
      <c r="A19" s="566"/>
      <c r="B19" s="566"/>
      <c r="C19" s="244"/>
      <c r="D19" s="339"/>
      <c r="E19" s="339"/>
      <c r="F19" s="564"/>
      <c r="G19" s="564"/>
      <c r="H19" s="564"/>
      <c r="I19" s="27"/>
    </row>
    <row r="20" spans="1:9" ht="44.25" customHeight="1">
      <c r="A20" s="566"/>
      <c r="B20" s="566"/>
      <c r="C20" s="244"/>
      <c r="D20" s="566"/>
      <c r="E20" s="566"/>
      <c r="F20" s="564"/>
      <c r="G20" s="564"/>
      <c r="H20" s="564"/>
      <c r="I20" s="27"/>
    </row>
    <row r="21" spans="1:9" ht="44.25" customHeight="1">
      <c r="A21" s="566"/>
      <c r="B21" s="566"/>
      <c r="C21" s="244"/>
      <c r="D21" s="566"/>
      <c r="E21" s="566"/>
      <c r="F21" s="564"/>
      <c r="G21" s="564"/>
      <c r="H21" s="564"/>
      <c r="I21" s="27"/>
    </row>
    <row r="22" spans="1:9" ht="53.25" customHeight="1">
      <c r="E22" s="29" t="s">
        <v>861</v>
      </c>
    </row>
  </sheetData>
  <sheetProtection formatCells="0" formatRows="0" selectLockedCells="1"/>
  <protectedRanges>
    <protectedRange sqref="B9:H16 B17 F6" name="範圍2"/>
    <protectedRange algorithmName="SHA-512" hashValue="yXmRoSLBnDTfzHb4bcvAohLUm2JCYj4MTVWCg3tObnD5E9naxcP3vpYMSDS/YCYYFPmyvuET+45xnvmO6msX8g==" saltValue="F98NFW3kH2PI+RvLFGPzUA==" spinCount="100000" sqref="C9:C16" name="範圍1"/>
  </protectedRanges>
  <mergeCells count="21">
    <mergeCell ref="F19:H19"/>
    <mergeCell ref="F20:H20"/>
    <mergeCell ref="F21:H21"/>
    <mergeCell ref="F18:H18"/>
    <mergeCell ref="B17:H17"/>
    <mergeCell ref="D19:E19"/>
    <mergeCell ref="D20:E20"/>
    <mergeCell ref="D21:E21"/>
    <mergeCell ref="A18:B18"/>
    <mergeCell ref="A19:B19"/>
    <mergeCell ref="A20:B20"/>
    <mergeCell ref="A21:B21"/>
    <mergeCell ref="D18:E18"/>
    <mergeCell ref="C7:D7"/>
    <mergeCell ref="A2:H2"/>
    <mergeCell ref="A3:H3"/>
    <mergeCell ref="A5:B5"/>
    <mergeCell ref="C5:D5"/>
    <mergeCell ref="C6:D6"/>
    <mergeCell ref="G5:H5"/>
    <mergeCell ref="G6:H6"/>
  </mergeCells>
  <phoneticPr fontId="3" type="noConversion"/>
  <dataValidations xWindow="527" yWindow="571" count="1">
    <dataValidation type="textLength" imeMode="off" operator="equal" allowBlank="1" showInputMessage="1" showErrorMessage="1" errorTitle="輸入不正確" error="請輸入4位數員工編號" promptTitle="工號說明" prompt="請輸入四碼工號，包含前面的0" sqref="F6" xr:uid="{ABCE41A3-CFFE-4EC6-B46C-ED835BBB0159}">
      <formula1>4</formula1>
    </dataValidation>
  </dataValidations>
  <printOptions horizontalCentered="1"/>
  <pageMargins left="0.37" right="0.32" top="0.39370078740157483" bottom="0.19685039370078741" header="0.19685039370078741" footer="0.19685039370078741"/>
  <pageSetup paperSize="9" scale="80" orientation="portrait" cellComments="asDisplayed"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28ED-C07F-408E-AB27-93B1D625F8FF}">
  <sheetPr codeName="工作表10">
    <tabColor rgb="FFFFC000"/>
    <pageSetUpPr fitToPage="1"/>
  </sheetPr>
  <dimension ref="A1:J20"/>
  <sheetViews>
    <sheetView showGridLines="0" view="pageBreakPreview" zoomScaleNormal="80" zoomScaleSheetLayoutView="100" workbookViewId="0">
      <selection activeCell="A19" sqref="A19:J19"/>
    </sheetView>
  </sheetViews>
  <sheetFormatPr defaultColWidth="9" defaultRowHeight="42" customHeight="1"/>
  <cols>
    <col min="1" max="4" width="9" style="194"/>
    <col min="5" max="5" width="15.21875" style="194" customWidth="1"/>
    <col min="6" max="8" width="9" style="194"/>
    <col min="9" max="9" width="30.6640625" style="194" customWidth="1"/>
    <col min="10" max="10" width="15.6640625" style="194" customWidth="1"/>
    <col min="11" max="16384" width="9" style="194"/>
  </cols>
  <sheetData>
    <row r="1" spans="1:10" ht="15.75" customHeight="1">
      <c r="A1" s="241" t="str">
        <f>'1.請購單'!A1</f>
        <v>20260709版</v>
      </c>
    </row>
    <row r="2" spans="1:10" s="195" customFormat="1" ht="30" customHeight="1">
      <c r="A2" s="578" t="s">
        <v>0</v>
      </c>
      <c r="B2" s="578"/>
      <c r="C2" s="578"/>
      <c r="D2" s="578"/>
      <c r="E2" s="578"/>
      <c r="F2" s="578"/>
      <c r="G2" s="578"/>
      <c r="H2" s="578"/>
      <c r="I2" s="578"/>
      <c r="J2" s="578"/>
    </row>
    <row r="3" spans="1:10" s="195" customFormat="1" ht="30" customHeight="1">
      <c r="A3" s="578" t="s">
        <v>862</v>
      </c>
      <c r="B3" s="578"/>
      <c r="C3" s="578"/>
      <c r="D3" s="578"/>
      <c r="E3" s="578"/>
      <c r="F3" s="578"/>
      <c r="G3" s="578"/>
      <c r="H3" s="578"/>
      <c r="I3" s="578"/>
      <c r="J3" s="578"/>
    </row>
    <row r="4" spans="1:10" s="195" customFormat="1" ht="8.25" customHeight="1">
      <c r="A4" s="240"/>
      <c r="B4" s="240"/>
      <c r="C4" s="240"/>
      <c r="D4" s="240"/>
      <c r="E4" s="240"/>
      <c r="F4" s="240"/>
      <c r="G4" s="240"/>
      <c r="H4" s="240"/>
      <c r="I4" s="240"/>
      <c r="J4" s="240"/>
    </row>
    <row r="5" spans="1:10" s="243" customFormat="1" ht="27" customHeight="1">
      <c r="A5" s="586" t="s">
        <v>863</v>
      </c>
      <c r="B5" s="586"/>
      <c r="C5" s="587">
        <f ca="1">TODAY()</f>
        <v>46212</v>
      </c>
      <c r="D5" s="587"/>
      <c r="E5" s="587"/>
      <c r="F5" s="587"/>
      <c r="G5" s="242"/>
      <c r="H5" s="242"/>
      <c r="I5" s="242"/>
      <c r="J5" s="242"/>
    </row>
    <row r="6" spans="1:10" ht="42" customHeight="1">
      <c r="A6" s="577" t="s">
        <v>864</v>
      </c>
      <c r="B6" s="577"/>
      <c r="C6" s="576"/>
      <c r="D6" s="576"/>
      <c r="E6" s="576"/>
      <c r="F6" s="576"/>
      <c r="G6" s="581" t="s">
        <v>865</v>
      </c>
      <c r="H6" s="581"/>
      <c r="I6" s="582"/>
      <c r="J6" s="582"/>
    </row>
    <row r="7" spans="1:10" ht="42" customHeight="1">
      <c r="A7" s="577" t="s">
        <v>866</v>
      </c>
      <c r="B7" s="577"/>
      <c r="C7" s="573"/>
      <c r="D7" s="574"/>
      <c r="E7" s="574"/>
      <c r="F7" s="575"/>
      <c r="G7" s="583" t="s">
        <v>867</v>
      </c>
      <c r="H7" s="584"/>
      <c r="I7" s="573"/>
      <c r="J7" s="575"/>
    </row>
    <row r="8" spans="1:10" ht="42" customHeight="1">
      <c r="A8" s="577" t="s">
        <v>868</v>
      </c>
      <c r="B8" s="577"/>
      <c r="C8" s="576"/>
      <c r="D8" s="576"/>
      <c r="E8" s="576"/>
      <c r="F8" s="576"/>
      <c r="G8" s="576"/>
      <c r="H8" s="576"/>
      <c r="I8" s="576"/>
      <c r="J8" s="576"/>
    </row>
    <row r="9" spans="1:10" ht="42" customHeight="1">
      <c r="A9" s="577" t="s">
        <v>869</v>
      </c>
      <c r="B9" s="577"/>
      <c r="C9" s="585"/>
      <c r="D9" s="585"/>
      <c r="E9" s="585"/>
      <c r="F9" s="585"/>
      <c r="G9" s="585"/>
      <c r="H9" s="585"/>
      <c r="I9" s="585"/>
      <c r="J9" s="585"/>
    </row>
    <row r="10" spans="1:10" ht="42" customHeight="1">
      <c r="A10" s="577" t="s">
        <v>870</v>
      </c>
      <c r="B10" s="577"/>
      <c r="C10" s="585"/>
      <c r="D10" s="585"/>
      <c r="E10" s="585"/>
      <c r="F10" s="585"/>
      <c r="G10" s="585"/>
      <c r="H10" s="585"/>
      <c r="I10" s="585"/>
      <c r="J10" s="585"/>
    </row>
    <row r="11" spans="1:10" ht="42" customHeight="1">
      <c r="A11" s="577" t="s">
        <v>871</v>
      </c>
      <c r="B11" s="577"/>
      <c r="C11" s="576"/>
      <c r="D11" s="576"/>
      <c r="E11" s="576"/>
      <c r="F11" s="576"/>
      <c r="G11" s="576"/>
      <c r="H11" s="576"/>
      <c r="I11" s="576"/>
      <c r="J11" s="576"/>
    </row>
    <row r="12" spans="1:10" ht="42" customHeight="1">
      <c r="A12" s="577" t="s">
        <v>872</v>
      </c>
      <c r="B12" s="577"/>
      <c r="C12" s="576"/>
      <c r="D12" s="576"/>
      <c r="E12" s="576"/>
      <c r="F12" s="576"/>
      <c r="G12" s="581" t="s">
        <v>873</v>
      </c>
      <c r="H12" s="581"/>
      <c r="I12" s="576"/>
      <c r="J12" s="576"/>
    </row>
    <row r="13" spans="1:10" ht="42" customHeight="1">
      <c r="A13" s="571" t="s">
        <v>874</v>
      </c>
      <c r="B13" s="572"/>
      <c r="C13" s="573"/>
      <c r="D13" s="574"/>
      <c r="E13" s="574"/>
      <c r="F13" s="575"/>
      <c r="G13" s="581" t="s">
        <v>875</v>
      </c>
      <c r="H13" s="581"/>
      <c r="I13" s="591"/>
      <c r="J13" s="575"/>
    </row>
    <row r="14" spans="1:10" ht="42" customHeight="1">
      <c r="A14" s="577" t="s">
        <v>876</v>
      </c>
      <c r="B14" s="577"/>
      <c r="C14" s="592"/>
      <c r="D14" s="576"/>
      <c r="E14" s="576"/>
      <c r="F14" s="576"/>
      <c r="G14" s="576"/>
      <c r="H14" s="576"/>
      <c r="I14" s="576"/>
      <c r="J14" s="576"/>
    </row>
    <row r="15" spans="1:10" ht="42" customHeight="1">
      <c r="A15" s="579" t="s">
        <v>877</v>
      </c>
      <c r="B15" s="577" t="s">
        <v>878</v>
      </c>
      <c r="C15" s="577"/>
      <c r="D15" s="577"/>
      <c r="E15" s="197" t="s">
        <v>879</v>
      </c>
      <c r="F15" s="577" t="s">
        <v>880</v>
      </c>
      <c r="G15" s="577"/>
      <c r="H15" s="577"/>
      <c r="I15" s="197" t="s">
        <v>881</v>
      </c>
      <c r="J15" s="197" t="s">
        <v>882</v>
      </c>
    </row>
    <row r="16" spans="1:10" ht="42" customHeight="1">
      <c r="A16" s="580"/>
      <c r="B16" s="576"/>
      <c r="C16" s="576"/>
      <c r="D16" s="576"/>
      <c r="E16" s="234"/>
      <c r="F16" s="576"/>
      <c r="G16" s="576"/>
      <c r="H16" s="576"/>
      <c r="I16" s="235"/>
      <c r="J16" s="235"/>
    </row>
    <row r="17" spans="1:10" ht="42" customHeight="1">
      <c r="A17" s="196" t="s">
        <v>860</v>
      </c>
      <c r="B17" s="576"/>
      <c r="C17" s="576"/>
      <c r="D17" s="576"/>
      <c r="E17" s="576"/>
      <c r="F17" s="576"/>
      <c r="G17" s="576"/>
      <c r="H17" s="576"/>
      <c r="I17" s="576"/>
      <c r="J17" s="576"/>
    </row>
    <row r="18" spans="1:10" ht="24.75" customHeight="1">
      <c r="A18" s="568" t="s">
        <v>883</v>
      </c>
      <c r="B18" s="569"/>
      <c r="C18" s="569"/>
      <c r="D18" s="569"/>
      <c r="E18" s="569"/>
      <c r="F18" s="569"/>
      <c r="G18" s="569"/>
      <c r="H18" s="569"/>
      <c r="I18" s="569"/>
      <c r="J18" s="570"/>
    </row>
    <row r="19" spans="1:10" ht="347.25" customHeight="1">
      <c r="A19" s="588" t="s">
        <v>884</v>
      </c>
      <c r="B19" s="589"/>
      <c r="C19" s="589"/>
      <c r="D19" s="589"/>
      <c r="E19" s="589"/>
      <c r="F19" s="589"/>
      <c r="G19" s="589"/>
      <c r="H19" s="589"/>
      <c r="I19" s="589"/>
      <c r="J19" s="590"/>
    </row>
    <row r="20" spans="1:10" ht="45.75" customHeight="1">
      <c r="A20" s="198" t="s">
        <v>885</v>
      </c>
      <c r="H20" s="199" t="s">
        <v>802</v>
      </c>
      <c r="I20" s="236"/>
      <c r="J20" s="236"/>
    </row>
  </sheetData>
  <mergeCells count="38">
    <mergeCell ref="A6:B6"/>
    <mergeCell ref="A5:B5"/>
    <mergeCell ref="C5:F5"/>
    <mergeCell ref="A19:J19"/>
    <mergeCell ref="G13:H13"/>
    <mergeCell ref="I13:J13"/>
    <mergeCell ref="C14:J14"/>
    <mergeCell ref="A10:B10"/>
    <mergeCell ref="C10:J10"/>
    <mergeCell ref="A11:B11"/>
    <mergeCell ref="C11:J11"/>
    <mergeCell ref="A7:B7"/>
    <mergeCell ref="A8:B8"/>
    <mergeCell ref="C8:J8"/>
    <mergeCell ref="B17:J17"/>
    <mergeCell ref="B15:D15"/>
    <mergeCell ref="C7:F7"/>
    <mergeCell ref="A2:J2"/>
    <mergeCell ref="A3:J3"/>
    <mergeCell ref="A15:A16"/>
    <mergeCell ref="G6:H6"/>
    <mergeCell ref="I6:J6"/>
    <mergeCell ref="C6:F6"/>
    <mergeCell ref="I7:J7"/>
    <mergeCell ref="G7:H7"/>
    <mergeCell ref="A12:B12"/>
    <mergeCell ref="I12:J12"/>
    <mergeCell ref="A14:B14"/>
    <mergeCell ref="G12:H12"/>
    <mergeCell ref="C12:F12"/>
    <mergeCell ref="A9:B9"/>
    <mergeCell ref="C9:J9"/>
    <mergeCell ref="A18:J18"/>
    <mergeCell ref="A13:B13"/>
    <mergeCell ref="C13:F13"/>
    <mergeCell ref="B16:D16"/>
    <mergeCell ref="F16:H16"/>
    <mergeCell ref="F15:H15"/>
  </mergeCells>
  <phoneticPr fontId="3" type="noConversion"/>
  <dataValidations count="1">
    <dataValidation allowBlank="1" showInputMessage="1" showErrorMessage="1" promptTitle="請勿填寫" prompt="由管理部填寫此欄位" sqref="I7:J7" xr:uid="{6CC086B2-BD4A-45BF-BEAF-7CBC922506BF}"/>
  </dataValidations>
  <printOptions horizontalCentered="1"/>
  <pageMargins left="0.34" right="0.3" top="0.49" bottom="0.19685039370078741" header="0.19685039370078741" footer="0.19685039370078741"/>
  <pageSetup paperSize="9" scale="78" orientation="portrait" cellComments="asDisplayed"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c48c539-647e-4c57-9209-f34df797dd4c" xsi:nil="true"/>
    <lcf76f155ced4ddcb4097134ff3c332f xmlns="d54834bd-fdc5-4079-b6a7-1a8d6ed40b6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件" ma:contentTypeID="0x0101004C11427D07E4B94B8C5853232B2D785F" ma:contentTypeVersion="20" ma:contentTypeDescription="建立新的文件。" ma:contentTypeScope="" ma:versionID="0abeb5aedaaedf8f98590b4df6d0aeed">
  <xsd:schema xmlns:xsd="http://www.w3.org/2001/XMLSchema" xmlns:xs="http://www.w3.org/2001/XMLSchema" xmlns:p="http://schemas.microsoft.com/office/2006/metadata/properties" xmlns:ns2="d54834bd-fdc5-4079-b6a7-1a8d6ed40b67" xmlns:ns3="3c48c539-647e-4c57-9209-f34df797dd4c" targetNamespace="http://schemas.microsoft.com/office/2006/metadata/properties" ma:root="true" ma:fieldsID="4efee2a8d676b870b287eaf9b30b2555" ns2:_="" ns3:_="">
    <xsd:import namespace="d54834bd-fdc5-4079-b6a7-1a8d6ed40b67"/>
    <xsd:import namespace="3c48c539-647e-4c57-9209-f34df797dd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4834bd-fdc5-4079-b6a7-1a8d6ed40b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影像標籤" ma:readOnly="false" ma:fieldId="{5cf76f15-5ced-4ddc-b409-7134ff3c332f}" ma:taxonomyMulti="true" ma:sspId="328eee33-1782-41f5-a6ad-13a66db768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48c539-647e-4c57-9209-f34df797dd4c" elementFormDefault="qualified">
    <xsd:import namespace="http://schemas.microsoft.com/office/2006/documentManagement/types"/>
    <xsd:import namespace="http://schemas.microsoft.com/office/infopath/2007/PartnerControls"/>
    <xsd:element name="SharedWithUsers" ma:index="10" nillable="true" ma:displayName="共用對象:"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用詳細資料" ma:hidden="true" ma:internalName="SharedWithDetails" ma:readOnly="true">
      <xsd:simpleType>
        <xsd:restriction base="dms:Note"/>
      </xsd:simpleType>
    </xsd:element>
    <xsd:element name="TaxCatchAll" ma:index="22" nillable="true" ma:displayName="Taxonomy Catch All Column" ma:hidden="true" ma:list="{9d903ac6-e4c0-4ca9-a36e-54a5d961aa49}" ma:internalName="TaxCatchAll" ma:showField="CatchAllData" ma:web="3c48c539-647e-4c57-9209-f34df797dd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內容類型"/>
        <xsd:element ref="dc:title" minOccurs="0" maxOccurs="1"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40D51E-3835-436C-9F08-54DC301B95A5}">
  <ds:schemaRefs>
    <ds:schemaRef ds:uri="http://schemas.microsoft.com/office/2006/metadata/properties"/>
    <ds:schemaRef ds:uri="http://schemas.microsoft.com/office/infopath/2007/PartnerControls"/>
    <ds:schemaRef ds:uri="3c48c539-647e-4c57-9209-f34df797dd4c"/>
    <ds:schemaRef ds:uri="d54834bd-fdc5-4079-b6a7-1a8d6ed40b67"/>
  </ds:schemaRefs>
</ds:datastoreItem>
</file>

<file path=customXml/itemProps2.xml><?xml version="1.0" encoding="utf-8"?>
<ds:datastoreItem xmlns:ds="http://schemas.openxmlformats.org/officeDocument/2006/customXml" ds:itemID="{3FE7749B-2A92-4907-82EB-83A55B38AAE4}">
  <ds:schemaRefs>
    <ds:schemaRef ds:uri="http://schemas.microsoft.com/sharepoint/v3/contenttype/forms"/>
  </ds:schemaRefs>
</ds:datastoreItem>
</file>

<file path=customXml/itemProps3.xml><?xml version="1.0" encoding="utf-8"?>
<ds:datastoreItem xmlns:ds="http://schemas.openxmlformats.org/officeDocument/2006/customXml" ds:itemID="{8BE66506-B2C0-4123-B370-B7FF76881C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4834bd-fdc5-4079-b6a7-1a8d6ed40b67"/>
    <ds:schemaRef ds:uri="3c48c539-647e-4c57-9209-f34df797dd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具名範圍</vt:lpstr>
      </vt:variant>
      <vt:variant>
        <vt:i4>7</vt:i4>
      </vt:variant>
    </vt:vector>
  </HeadingPairs>
  <TitlesOfParts>
    <vt:vector size="17" baseType="lpstr">
      <vt:lpstr>請先閱讀</vt:lpstr>
      <vt:lpstr>各項支出報支規定</vt:lpstr>
      <vt:lpstr>link</vt:lpstr>
      <vt:lpstr>1.請購單</vt:lpstr>
      <vt:lpstr>供應商資料</vt:lpstr>
      <vt:lpstr>2. 採購單</vt:lpstr>
      <vt:lpstr>3. 驗收單</vt:lpstr>
      <vt:lpstr>4. 費用申請單</vt:lpstr>
      <vt:lpstr>5.採購選手清單</vt:lpstr>
      <vt:lpstr>6.客供資料卡</vt:lpstr>
      <vt:lpstr>'1.請購單'!Print_Area</vt:lpstr>
      <vt:lpstr>'2. 採購單'!Print_Area</vt:lpstr>
      <vt:lpstr>'3. 驗收單'!Print_Area</vt:lpstr>
      <vt:lpstr>'4. 費用申請單'!Print_Area</vt:lpstr>
      <vt:lpstr>'5.採購選手清單'!Print_Area</vt:lpstr>
      <vt:lpstr>'6.客供資料卡'!Print_Area</vt:lpstr>
      <vt:lpstr>請先閱讀!Print_Area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Wu</dc:creator>
  <cp:keywords/>
  <dc:description/>
  <cp:lastModifiedBy>李盈萱</cp:lastModifiedBy>
  <cp:revision/>
  <dcterms:created xsi:type="dcterms:W3CDTF">2021-01-29T06:07:23Z</dcterms:created>
  <dcterms:modified xsi:type="dcterms:W3CDTF">2026-07-09T03:10:30Z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0x0101004C11427D07E4B94B8C5853232B2D785F</vt:lpwstr>
  </property>
  <property fmtid="{D5CDD505-2E9C-101B-9397-08002B2CF9AE}" pid="3" name="MediaServiceImageTags">
    <vt:lpwstr/>
  </property>
</Properties>
</file>